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12fd0c3644c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f0db736848574e35"/>
    <x:sheet xmlns:r="http://schemas.openxmlformats.org/officeDocument/2006/relationships" name="Raw Metrics" sheetId="2" r:id="R7a45535a825948af"/>
    <x:sheet xmlns:r="http://schemas.openxmlformats.org/officeDocument/2006/relationships" name="Parameters" sheetId="3" r:id="R297170bc81e24c95"/>
    <x:sheet xmlns:r="http://schemas.openxmlformats.org/officeDocument/2006/relationships" name="Raw SSD WAM" sheetId="4" r:id="Red5803d2b02e4336"/>
    <x:sheet xmlns:r="http://schemas.openxmlformats.org/officeDocument/2006/relationships" name="SSD Analysis" sheetId="5" r:id="R9db1a86cce744e63"/>
    <x:sheet xmlns:r="http://schemas.openxmlformats.org/officeDocument/2006/relationships" name="Source Files" sheetId="6" r:id="Rb5cd6e16446344dc"/>
    <x:sheet xmlns:r="http://schemas.openxmlformats.org/officeDocument/2006/relationships" name="README" sheetId="7" r:id="R2c28b22ad0af49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00"/>
    <x:numFmt numFmtId="201" formatCode="0.00%"/>
    <x:numFmt numFmtId="202" formatCode="#,##0"/>
    <x:numFmt numFmtId="203" formatCode="#,##0.00"/>
    <x:numFmt numFmtId="204" formatCode="#,##0.000000"/>
    <x:numFmt numFmtId="205" formatCode="0.000000"/>
    <x:numFmt numFmtId="206" formatCode="0%"/>
    <x:numFmt numFmtId="207" formatCode="yyyy-mm-dd hh:mm:ss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F3F4F6"/>
      </x:patternFill>
    </x:fill>
    <x:fill>
      <x:patternFill patternType="solid">
        <x:fgColor rgb="FF0E7490"/>
      </x:patternFill>
    </x:fill>
    <x:fill>
      <x:patternFill patternType="solid">
        <x:fgColor rgb="FFCCFBF1"/>
      </x:patternFill>
    </x:fill>
  </x:fills>
  <x:borders count="7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203" fontId="2" fillId="0" borderId="4" xfId="0" applyNumberFormat="1" applyFont="1" applyFill="1" applyBorder="1" applyAlignment="1">
      <x:alignment vertical="center"/>
    </x:xf>
    <x:xf numFmtId="203" fontId="2" fillId="0" borderId="5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2" fillId="0" borderId="4" xfId="0" applyNumberFormat="1" applyFont="1" applyFill="1" applyBorder="1" applyAlignment="1">
      <x:alignment vertical="center"/>
    </x:xf>
    <x:xf numFmtId="204" fontId="2" fillId="0" borderId="6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205" fontId="2" fillId="0" borderId="4" xfId="0" applyNumberFormat="1" applyFont="1" applyFill="1" applyBorder="1" applyAlignment="1">
      <x:alignment vertical="center"/>
    </x:xf>
    <x:xf numFmtId="205" fontId="2" fillId="0" borderId="6" xfId="0" applyNumberFormat="1" applyFont="1" applyFill="1" applyBorder="1" applyAlignment="1">
      <x:alignment vertical="center"/>
    </x:xf>
    <x:xf numFmtId="203" fontId="2" fillId="0" borderId="6" xfId="0" applyNumberFormat="1" applyFont="1" applyFill="1" applyBorder="1" applyAlignment="1">
      <x:alignment vertical="center"/>
    </x:xf>
    <x:xf numFmtId="206" fontId="2" fillId="0" borderId="4" xfId="0" applyNumberFormat="1" applyFont="1" applyFill="1" applyBorder="1" applyAlignment="1">
      <x:alignment vertical="center"/>
    </x:xf>
    <x:xf numFmtId="206" fontId="2" fillId="0" borderId="6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0" fontId="2" fillId="4" borderId="6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 applyAlignment="1">
      <x:alignment vertical="center"/>
    </x:xf>
    <x:xf numFmtId="202" fontId="3" fillId="4" borderId="5" xfId="0" applyNumberFormat="1" applyFont="1" applyFill="1" applyBorder="1" applyAlignment="1">
      <x:alignment vertical="center"/>
    </x:xf>
    <x:xf numFmtId="202" fontId="3" fillId="4" borderId="6" xfId="0" applyNumberFormat="1" applyFont="1" applyFill="1" applyBorder="1" applyAlignment="1">
      <x:alignment vertical="center"/>
    </x:xf>
    <x:xf numFmtId="201" fontId="3" fillId="4" borderId="5" xfId="0" applyNumberFormat="1" applyFont="1" applyFill="1" applyBorder="1" applyAlignment="1">
      <x:alignment vertical="center"/>
    </x:xf>
    <x:xf numFmtId="201" fontId="3" fillId="4" borderId="6" xfId="0" applyNumberFormat="1" applyFont="1" applyFill="1" applyBorder="1" applyAlignment="1">
      <x:alignment vertical="center"/>
    </x:xf>
    <x:xf numFmtId="207" fontId="2" fillId="0" borderId="4" xfId="0" applyNumberFormat="1" applyFont="1" applyFill="1" applyBorder="1" applyAlignment="1">
      <x:alignment vertical="center"/>
    </x:xf>
    <x:xf numFmtId="207" fontId="2" fillId="0" borderId="5" xfId="0" applyNumberFormat="1" applyFont="1" applyFill="1" applyBorder="1" applyAlignment="1">
      <x:alignment vertical="center"/>
    </x:xf>
    <x:xf numFmtId="207" fontId="2" fillId="0" borderId="6" xfId="0" applyNumberFormat="1" applyFont="1" applyFill="1" applyBorder="1" applyAlignment="1">
      <x:alignment vertical="center"/>
    </x:xf>
    <x:xf numFmtId="0" fontId="2" fillId="4" borderId="4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4a2452af774dd3" /><Relationship Type="http://schemas.openxmlformats.org/officeDocument/2006/relationships/theme" Target="/xl/theme/theme1.xml" Id="R559fa529823f4600" /><Relationship Type="http://schemas.microsoft.com/office/2022/11/relationships/FeaturePropertyBag" Target="/xl/featurePropertyBag/featurePropertyBag.xml" Id="Rbee4c815e1f14c00" /><Relationship Type="http://schemas.openxmlformats.org/officeDocument/2006/relationships/sharedStrings" Target="/xl/sharedStrings.xml" Id="R05721f8a518848f1" /><Relationship Type="http://schemas.openxmlformats.org/officeDocument/2006/relationships/worksheet" Target="/xl/worksheets/sheet1.xml" Id="Rf0db736848574e35" /><Relationship Type="http://schemas.openxmlformats.org/officeDocument/2006/relationships/worksheet" Target="/xl/worksheets/sheet2.xml" Id="R7a45535a825948af" /><Relationship Type="http://schemas.openxmlformats.org/officeDocument/2006/relationships/worksheet" Target="/xl/worksheets/sheet3.xml" Id="R297170bc81e24c95" /><Relationship Type="http://schemas.openxmlformats.org/officeDocument/2006/relationships/worksheet" Target="/xl/worksheets/sheet4.xml" Id="Red5803d2b02e4336" /><Relationship Type="http://schemas.openxmlformats.org/officeDocument/2006/relationships/worksheet" Target="/xl/worksheets/sheet5.xml" Id="R9db1a86cce744e63" /><Relationship Type="http://schemas.openxmlformats.org/officeDocument/2006/relationships/worksheet" Target="/xl/worksheets/sheet6.xml" Id="Rb5cd6e16446344dc" /><Relationship Type="http://schemas.openxmlformats.org/officeDocument/2006/relationships/worksheet" Target="/xl/worksheets/sheet7.xml" Id="R2c28b22ad0af49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30" customHeight="1">
      <x:c r="A1" s="4" t="str">
        <x:v>gun_stripezone_swans — Zone = Stripe Unit Results</x:v>
      </x:c>
      <x:c r="B1" s="4" t="str">
        <x:v>gun_stripezone_swans — Zone = Stripe Unit Results</x:v>
      </x:c>
      <x:c r="C1" s="4" t="str">
        <x:v>gun_stripezone_swans — Zone = Stripe Unit Results</x:v>
      </x:c>
      <x:c r="D1" s="4" t="str">
        <x:v>gun_stripezone_swans — Zone = Stripe Unit Results</x:v>
      </x:c>
      <x:c r="E1" s="4" t="str">
        <x:v>gun_stripezone_swans — Zone = Stripe Unit Results</x:v>
      </x:c>
      <x:c r="F1" s="4" t="str">
        <x:v>gun_stripezone_swans — Zone = Stripe Unit Results</x:v>
      </x:c>
      <x:c r="G1" s="4" t="str">
        <x:v>gun_stripezone_swans — Zone = Stripe Unit Results</x:v>
      </x:c>
    </x:row>
    <x:row r="2">
      <x:c r="A2" s="7" t="str">
        <x:v>Same MSRC prxy0 500k trace; 16 MiB baseline versus 512-LBA (256 KiB) SWANS zone</x:v>
      </x:c>
      <x:c r="B2" s="7" t="str">
        <x:v>Same MSRC prxy0 500k trace; 16 MiB baseline versus 512-LBA (256 KiB) SWANS zone</x:v>
      </x:c>
      <x:c r="C2" s="7" t="str">
        <x:v>Same MSRC prxy0 500k trace; 16 MiB baseline versus 512-LBA (256 KiB) SWANS zone</x:v>
      </x:c>
      <x:c r="D2" s="7" t="str">
        <x:v>Same MSRC prxy0 500k trace; 16 MiB baseline versus 512-LBA (256 KiB) SWANS zone</x:v>
      </x:c>
      <x:c r="E2" s="7" t="str">
        <x:v>Same MSRC prxy0 500k trace; 16 MiB baseline versus 512-LBA (256 KiB) SWANS zone</x:v>
      </x:c>
      <x:c r="F2" s="7" t="str">
        <x:v>Same MSRC prxy0 500k trace; 16 MiB baseline versus 512-LBA (256 KiB) SWANS zone</x:v>
      </x:c>
      <x:c r="G2" s="7" t="str">
        <x:v>Same MSRC prxy0 500k trace; 16 MiB baseline versus 512-LBA (256 KiB) SWANS zone</x:v>
      </x:c>
    </x:row>
    <x:row r="4" ht="24" customHeight="1">
      <x:c r="A4" s="9" t="str">
        <x:v>Code archive</x:v>
      </x:c>
      <x:c r="B4" s="11" t="str">
        <x:v>Source\gun_stripezone_swans</x:v>
      </x:c>
      <x:c r="C4" s="11" t="str">
        <x:v>Source\gun_stripezone_swans</x:v>
      </x:c>
      <x:c r="D4" s="11" t="str">
        <x:v>Source\gun_stripezone_swans</x:v>
      </x:c>
      <x:c r="E4" s="11" t="str">
        <x:v>Source\gun_stripezone_swans</x:v>
      </x:c>
      <x:c r="F4" s="11" t="str">
        <x:v>Source\gun_stripezone_swans</x:v>
      </x:c>
      <x:c r="G4" s="11" t="str">
        <x:v>Source\gun_stripezone_swans</x:v>
      </x:c>
    </x:row>
    <x:row r="5" ht="24" customHeight="1">
      <x:c r="A5" s="9" t="str">
        <x:v>C++ source validation</x:v>
      </x:c>
      <x:c r="B5" s="11" t="str">
        <x:v>160 / 160 files; SHA-256 mismatch 0 versus gun_swans</x:v>
      </x:c>
      <x:c r="C5" s="11" t="str">
        <x:v>160 / 160 files; SHA-256 mismatch 0 versus gun_swans</x:v>
      </x:c>
      <x:c r="D5" s="11" t="str">
        <x:v>160 / 160 files; SHA-256 mismatch 0 versus gun_swans</x:v>
      </x:c>
      <x:c r="E5" s="11" t="str">
        <x:v>160 / 160 files; SHA-256 mismatch 0 versus gun_swans</x:v>
      </x:c>
      <x:c r="F5" s="11" t="str">
        <x:v>160 / 160 files; SHA-256 mismatch 0 versus gun_swans</x:v>
      </x:c>
      <x:c r="G5" s="11" t="str">
        <x:v>160 / 160 files; SHA-256 mismatch 0 versus gun_swans</x:v>
      </x:c>
    </x:row>
    <x:row r="6" ht="24" customHeight="1">
      <x:c r="A6" s="9" t="str">
        <x:v>Trace validation</x:v>
      </x:c>
      <x:c r="B6" s="11" t="str">
        <x:v>MATCH — 3B818444E5892647BDB0EDFAB221663C0E0ABB264A89C0442D54D0AC259B51BD</x:v>
      </x:c>
      <x:c r="C6" s="11" t="str">
        <x:v>MATCH — 3B818444E5892647BDB0EDFAB221663C0E0ABB264A89C0442D54D0AC259B51BD</x:v>
      </x:c>
      <x:c r="D6" s="11" t="str">
        <x:v>MATCH — 3B818444E5892647BDB0EDFAB221663C0E0ABB264A89C0442D54D0AC259B51BD</x:v>
      </x:c>
      <x:c r="E6" s="11" t="str">
        <x:v>MATCH — 3B818444E5892647BDB0EDFAB221663C0E0ABB264A89C0442D54D0AC259B51BD</x:v>
      </x:c>
      <x:c r="F6" s="11" t="str">
        <x:v>MATCH — 3B818444E5892647BDB0EDFAB221663C0E0ABB264A89C0442D54D0AC259B51BD</x:v>
      </x:c>
      <x:c r="G6" s="11" t="str">
        <x:v>MATCH — 3B818444E5892647BDB0EDFAB221663C0E0ABB264A89C0442D54D0AC259B51BD</x:v>
      </x:c>
    </x:row>
    <x:row r="7" ht="24" customHeight="1">
      <x:c r="A7" s="9" t="str">
        <x:v>Zone definition</x:v>
      </x:c>
      <x:c r="B7" s="11" t="str">
        <x:v>512 LBA × 512 B = 256 KiB = one Stripe_Unit_LBA</x:v>
      </x:c>
      <x:c r="C7" s="11" t="str">
        <x:v>512 LBA × 512 B = 256 KiB = one Stripe_Unit_LBA</x:v>
      </x:c>
      <x:c r="D7" s="11" t="str">
        <x:v>512 LBA × 512 B = 256 KiB = one Stripe_Unit_LBA</x:v>
      </x:c>
      <x:c r="E7" s="11" t="str">
        <x:v>512 LBA × 512 B = 256 KiB = one Stripe_Unit_LBA</x:v>
      </x:c>
      <x:c r="F7" s="11" t="str">
        <x:v>512 LBA × 512 B = 256 KiB = one Stripe_Unit_LBA</x:v>
      </x:c>
      <x:c r="G7" s="11" t="str">
        <x:v>512 LBA × 512 B = 256 KiB = one Stripe_Unit_LBA</x:v>
      </x:c>
    </x:row>
    <x:row r="8" ht="24" customHeight="1">
      <x:c r="A8" s="9" t="str">
        <x:v>Simulation</x:v>
      </x:c>
      <x:c r="B8" s="11" t="str">
        <x:v>500,000 / 500,000 requests completed; exit code 0</x:v>
      </x:c>
      <x:c r="C8" s="11" t="str">
        <x:v>500,000 / 500,000 requests completed; exit code 0</x:v>
      </x:c>
      <x:c r="D8" s="11" t="str">
        <x:v>500,000 / 500,000 requests completed; exit code 0</x:v>
      </x:c>
      <x:c r="E8" s="11" t="str">
        <x:v>500,000 / 500,000 requests completed; exit code 0</x:v>
      </x:c>
      <x:c r="F8" s="11" t="str">
        <x:v>500,000 / 500,000 requests completed; exit code 0</x:v>
      </x:c>
      <x:c r="G8" s="11" t="str">
        <x:v>500,000 / 500,000 requests completed; exit code 0</x:v>
      </x:c>
    </x:row>
    <x:row r="10" ht="34" customHeight="1">
      <x:c r="A10" s="23" t="str">
        <x:v>Metric</x:v>
      </x:c>
      <x:c r="B10" s="24" t="str">
        <x:v>Unit</x:v>
      </x:c>
      <x:c r="C10" s="24" t="str">
        <x:v>16 MiB baseline</x:v>
      </x:c>
      <x:c r="D10" s="24" t="str">
        <x:v>256 KiB stripe-zone</x:v>
      </x:c>
      <x:c r="E10" s="24" t="str">
        <x:v>Delta</x:v>
      </x:c>
      <x:c r="F10" s="24" t="str">
        <x:v>Delta %</x:v>
      </x:c>
      <x:c r="G10" s="25" t="str">
        <x:v>Interpretation</x:v>
      </x:c>
    </x:row>
    <x:row r="11">
      <x:c r="A11" s="29" t="str">
        <x:v>Zone size</x:v>
      </x:c>
      <x:c r="B11" s="29" t="str">
        <x:v>KiB</x:v>
      </x:c>
      <x:c r="C11" s="40" t="n">
        <x:f>'Parameters'!G3</x:f>
        <x:v>16384</x:v>
      </x:c>
      <x:c r="D11" s="40" t="n">
        <x:f>'Parameters'!G4</x:f>
        <x:v>256</x:v>
      </x:c>
      <x:c r="E11" s="40" t="n">
        <x:f>D11-C11</x:f>
        <x:v>-16128</x:v>
      </x:c>
      <x:c r="F11" s="35" t="n">
        <x:f>IF(C11=0,"",E11/ABS(C11))</x:f>
        <x:v>-0.984375</x:v>
      </x:c>
      <x:c r="G11" s="42" t="str">
        <x:v>Controlled variable; stripe-zone is 1/64 of baseline</x:v>
      </x:c>
    </x:row>
    <x:row r="12">
      <x:c r="A12" s="30" t="str">
        <x:v>Stripes per zone</x:v>
      </x:c>
      <x:c r="B12" s="30" t="str">
        <x:v>ratio</x:v>
      </x:c>
      <x:c r="C12" s="41" t="n">
        <x:f>'Parameters'!H3</x:f>
        <x:v>64</x:v>
      </x:c>
      <x:c r="D12" s="41" t="n">
        <x:f>'Parameters'!H4</x:f>
        <x:v>1</x:v>
      </x:c>
      <x:c r="E12" s="41" t="n">
        <x:f>D12-C12</x:f>
        <x:v>-63</x:v>
      </x:c>
      <x:c r="F12" s="36" t="n">
        <x:f>IF(C12=0,"",E12/ABS(C12))</x:f>
        <x:v>-0.984375</x:v>
      </x:c>
      <x:c r="G12" s="43" t="str">
        <x:v>One SWANS zone now equals one stripe unit</x:v>
      </x:c>
    </x:row>
    <x:row r="13">
      <x:c r="A13" s="30" t="str">
        <x:v>Requests completed</x:v>
      </x:c>
      <x:c r="B13" s="30" t="str">
        <x:v>requests</x:v>
      </x:c>
      <x:c r="C13" s="38" t="n">
        <x:f>'Raw Metrics'!D3</x:f>
        <x:v>500000</x:v>
      </x:c>
      <x:c r="D13" s="38" t="n">
        <x:f>'Raw Metrics'!D4</x:f>
        <x:v>500000</x:v>
      </x:c>
      <x:c r="E13" s="38" t="n">
        <x:f>D13-C13</x:f>
        <x:v>0</x:v>
      </x:c>
      <x:c r="F13" s="36" t="n">
        <x:f>IF(C13=0,"",E13/ABS(C13))</x:f>
        <x:v>0</x:v>
      </x:c>
      <x:c r="G13" s="43" t="str">
        <x:v>Must match for a valid comparison</x:v>
      </x:c>
    </x:row>
    <x:row r="14">
      <x:c r="A14" s="30" t="str">
        <x:v>Average response</x:v>
      </x:c>
      <x:c r="B14" s="30" t="str">
        <x:v>us</x:v>
      </x:c>
      <x:c r="C14" s="33" t="n">
        <x:f>'Raw Metrics'!I3</x:f>
        <x:v>910.013928</x:v>
      </x:c>
      <x:c r="D14" s="33" t="n">
        <x:f>'Raw Metrics'!I4</x:f>
        <x:v>909.178571</x:v>
      </x:c>
      <x:c r="E14" s="33" t="n">
        <x:f>D14-C14</x:f>
        <x:v>-0.8353569999999308</x:v>
      </x:c>
      <x:c r="F14" s="36" t="n">
        <x:f>IF(C14=0,"",E14/ABS(C14))</x:f>
        <x:v>-0.0009179606754325752</x:v>
      </x:c>
      <x:c r="G14" s="43" t="str">
        <x:v>Lower is better; observed difference is negligible</x:v>
      </x:c>
    </x:row>
    <x:row r="15">
      <x:c r="A15" s="30" t="str">
        <x:v>IOPS</x:v>
      </x:c>
      <x:c r="B15" s="30" t="str">
        <x:v>IOPS</x:v>
      </x:c>
      <x:c r="C15" s="33" t="n">
        <x:f>'Raw Metrics'!H3</x:f>
        <x:v>21.815009</x:v>
      </x:c>
      <x:c r="D15" s="33" t="n">
        <x:f>'Raw Metrics'!H4</x:f>
        <x:v>21.815009</x:v>
      </x:c>
      <x:c r="E15" s="33" t="n">
        <x:f>D15-C15</x:f>
        <x:v>0</x:v>
      </x:c>
      <x:c r="F15" s="36" t="n">
        <x:f>IF(C15=0,"",E15/ABS(C15))</x:f>
        <x:v>0</x:v>
      </x:c>
      <x:c r="G15" s="43" t="str">
        <x:v>Higher is better</x:v>
      </x:c>
    </x:row>
    <x:row r="16">
      <x:c r="A16" s="30" t="str">
        <x:v>Final SWANS mu</x:v>
      </x:c>
      <x:c r="B16" s="30" t="str">
        <x:v>pp</x:v>
      </x:c>
      <x:c r="C16" s="33" t="n">
        <x:f>'Raw Metrics'!L3</x:f>
        <x:v>5.8139</x:v>
      </x:c>
      <x:c r="D16" s="33" t="n">
        <x:f>'Raw Metrics'!L4</x:f>
        <x:v>5.342528</x:v>
      </x:c>
      <x:c r="E16" s="33" t="n">
        <x:f>D16-C16</x:f>
        <x:v>-0.47137200000000057</x:v>
      </x:c>
      <x:c r="F16" s="36" t="n">
        <x:f>IF(C16=0,"",E16/ABS(C16))</x:f>
        <x:v>-0.08107672990591523</x:v>
      </x:c>
      <x:c r="G16" s="43" t="str">
        <x:v>Lower indicates less final write imbalance</x:v>
      </x:c>
    </x:row>
    <x:row r="17">
      <x:c r="A17" s="30" t="str">
        <x:v>Redirect epochs</x:v>
      </x:c>
      <x:c r="B17" s="30" t="str">
        <x:v>epochs</x:v>
      </x:c>
      <x:c r="C17" s="38" t="n">
        <x:f>'Raw Metrics'!O3</x:f>
        <x:v>275</x:v>
      </x:c>
      <x:c r="D17" s="38" t="n">
        <x:f>'Raw Metrics'!O4</x:f>
        <x:v>463</x:v>
      </x:c>
      <x:c r="E17" s="38" t="n">
        <x:f>D17-C17</x:f>
        <x:v>188</x:v>
      </x:c>
      <x:c r="F17" s="36" t="n">
        <x:f>IF(C17=0,"",E17/ABS(C17))</x:f>
        <x:v>0.6836363636363636</x:v>
      </x:c>
      <x:c r="G17" s="43" t="str">
        <x:v>More epochs remained in REDIRECT state</x:v>
      </x:c>
    </x:row>
    <x:row r="18">
      <x:c r="A18" s="30" t="str">
        <x:v>Redirect operations</x:v>
      </x:c>
      <x:c r="B18" s="30" t="str">
        <x:v>ops</x:v>
      </x:c>
      <x:c r="C18" s="38" t="n">
        <x:f>'Raw Metrics'!R3</x:f>
        <x:v>69</x:v>
      </x:c>
      <x:c r="D18" s="38" t="n">
        <x:f>'Raw Metrics'!R4</x:f>
        <x:v>151</x:v>
      </x:c>
      <x:c r="E18" s="38" t="n">
        <x:f>D18-C18</x:f>
        <x:v>82</x:v>
      </x:c>
      <x:c r="F18" s="36" t="n">
        <x:f>IF(C18=0,"",E18/ABS(C18))</x:f>
        <x:v>1.1884057971014492</x:v>
      </x:c>
      <x:c r="G18" s="43" t="str">
        <x:v>Policy activity cost increased</x:v>
      </x:c>
    </x:row>
    <x:row r="19">
      <x:c r="A19" s="30" t="str">
        <x:v>State transitions</x:v>
      </x:c>
      <x:c r="B19" s="30" t="str">
        <x:v>transitions</x:v>
      </x:c>
      <x:c r="C19" s="38" t="n">
        <x:f>'Raw Metrics'!Q3</x:f>
        <x:v>5</x:v>
      </x:c>
      <x:c r="D19" s="38" t="n">
        <x:f>'Raw Metrics'!Q4</x:f>
        <x:v>9</x:v>
      </x:c>
      <x:c r="E19" s="38" t="n">
        <x:f>D19-C19</x:f>
        <x:v>4</x:v>
      </x:c>
      <x:c r="F19" s="36" t="n">
        <x:f>IF(C19=0,"",E19/ABS(C19))</x:f>
        <x:v>0.8</x:v>
      </x:c>
      <x:c r="G19" s="43" t="str">
        <x:v>More policy switching activity</x:v>
      </x:c>
    </x:row>
    <x:row r="20">
      <x:c r="A20" s="30" t="str">
        <x:v>Mapping entries</x:v>
      </x:c>
      <x:c r="B20" s="30" t="str">
        <x:v>entries</x:v>
      </x:c>
      <x:c r="C20" s="38" t="n">
        <x:f>'Raw Metrics'!T3</x:f>
        <x:v>13108</x:v>
      </x:c>
      <x:c r="D20" s="38" t="n">
        <x:f>'Raw Metrics'!T4</x:f>
        <x:v>838860</x:v>
      </x:c>
      <x:c r="E20" s="38" t="n">
        <x:f>D20-C20</x:f>
        <x:v>825752</x:v>
      </x:c>
      <x:c r="F20" s="36" t="n">
        <x:f>IF(C20=0,"",E20/ABS(C20))</x:f>
        <x:v>62.99603295697284</x:v>
      </x:c>
      <x:c r="G20" s="43" t="str">
        <x:v>Primary metadata scalability tradeoff</x:v>
      </x:c>
    </x:row>
    <x:row r="21">
      <x:c r="A21" s="30" t="str">
        <x:v>Migration operations</x:v>
      </x:c>
      <x:c r="B21" s="30" t="str">
        <x:v>ops</x:v>
      </x:c>
      <x:c r="C21" s="38" t="n">
        <x:f>'Raw Metrics'!S3</x:f>
        <x:v>0</x:v>
      </x:c>
      <x:c r="D21" s="38" t="n">
        <x:f>'Raw Metrics'!S4</x:f>
        <x:v>0</x:v>
      </x:c>
      <x:c r="E21" s="38" t="n">
        <x:f>D21-C21</x:f>
        <x:v>0</x:v>
      </x:c>
      <x:c r="F21" s="36" t="str">
        <x:f>IF(C21=0,"",E21/ABS(C21))</x:f>
      </x:c>
      <x:c r="G21" s="43" t="str">
        <x:v>No migration in either real-time trace run</x:v>
      </x:c>
    </x:row>
    <x:row r="22">
      <x:c r="A22" s="30" t="str">
        <x:v>Migration WAM</x:v>
      </x:c>
      <x:c r="B22" s="30" t="str">
        <x:v>sectors</x:v>
      </x:c>
      <x:c r="C22" s="38" t="n">
        <x:f>'Raw Metrics'!V3</x:f>
        <x:v>0</x:v>
      </x:c>
      <x:c r="D22" s="38" t="n">
        <x:f>'Raw Metrics'!V4</x:f>
        <x:v>0</x:v>
      </x:c>
      <x:c r="E22" s="38" t="n">
        <x:f>D22-C22</x:f>
        <x:v>0</x:v>
      </x:c>
      <x:c r="F22" s="36" t="str">
        <x:f>IF(C22=0,"",E22/ABS(C22))</x:f>
      </x:c>
      <x:c r="G22" s="43" t="str">
        <x:v>No migration-copy amplification</x:v>
      </x:c>
    </x:row>
    <x:row r="23">
      <x:c r="A23" s="30" t="str">
        <x:v>Cumulative WAM</x:v>
      </x:c>
      <x:c r="B23" s="30" t="str">
        <x:v>sectors</x:v>
      </x:c>
      <x:c r="C23" s="38" t="n">
        <x:f>'Raw Metrics'!W3</x:f>
        <x:v>2234669</x:v>
      </x:c>
      <x:c r="D23" s="38" t="n">
        <x:f>'Raw Metrics'!W4</x:f>
        <x:v>2234669</x:v>
      </x:c>
      <x:c r="E23" s="38" t="n">
        <x:f>D23-C23</x:f>
        <x:v>0</x:v>
      </x:c>
      <x:c r="F23" s="36" t="n">
        <x:f>IF(C23=0,"",E23/ABS(C23))</x:f>
        <x:v>0</x:v>
      </x:c>
      <x:c r="G23" s="43" t="str">
        <x:v>Host plus migration write sectors</x:v>
      </x:c>
    </x:row>
    <x:row r="24">
      <x:c r="A24" s="30" t="str">
        <x:v>Approx. flash WAF</x:v>
      </x:c>
      <x:c r="B24" s="30" t="str">
        <x:v>ratio</x:v>
      </x:c>
      <x:c r="C24" s="33" t="n">
        <x:f>'Raw Metrics'!Z3</x:f>
        <x:v>3.778671</x:v>
      </x:c>
      <x:c r="D24" s="33" t="n">
        <x:f>'Raw Metrics'!Z4</x:f>
        <x:v>3.778671</x:v>
      </x:c>
      <x:c r="E24" s="33" t="n">
        <x:f>D24-C24</x:f>
        <x:v>0</x:v>
      </x:c>
      <x:c r="F24" s="36" t="n">
        <x:f>IF(C24=0,"",E24/ABS(C24))</x:f>
        <x:v>0</x:v>
      </x:c>
      <x:c r="G24" s="43" t="str">
        <x:v>Identical short-run flash programming proxy</x:v>
      </x:c>
    </x:row>
    <x:row r="25">
      <x:c r="A25" s="30" t="str">
        <x:v>SSD host-WAM range</x:v>
      </x:c>
      <x:c r="B25" s="30" t="str">
        <x:v>sectors</x:v>
      </x:c>
      <x:c r="C25" s="38" t="n">
        <x:f>MAX('Raw SSD WAM'!D3:D6)-MIN('Raw SSD WAM'!D3:D6)</x:f>
        <x:v>359840</x:v>
      </x:c>
      <x:c r="D25" s="38" t="n">
        <x:f>MAX('Raw SSD WAM'!D7:D10)-MIN('Raw SSD WAM'!D7:D10)</x:f>
        <x:v>328936</x:v>
      </x:c>
      <x:c r="E25" s="38" t="n">
        <x:f>D25-C25</x:f>
        <x:v>-30904</x:v>
      </x:c>
      <x:c r="F25" s="36" t="n">
        <x:f>IF(C25=0,"",E25/ABS(C25))</x:f>
        <x:v>-0.08588261449533126</x:v>
      </x:c>
      <x:c r="G25" s="43" t="str">
        <x:v>Lower range indicates a tighter per-SSD distribution</x:v>
      </x:c>
    </x:row>
    <x:row r="26">
      <x:c r="A26" s="31" t="str">
        <x:v>Flash page programs</x:v>
      </x:c>
      <x:c r="B26" s="31" t="str">
        <x:v>pages</x:v>
      </x:c>
      <x:c r="C26" s="39" t="n">
        <x:f>'Raw Metrics'!X3</x:f>
        <x:v>527755</x:v>
      </x:c>
      <x:c r="D26" s="39" t="n">
        <x:f>'Raw Metrics'!X4</x:f>
        <x:v>527755</x:v>
      </x:c>
      <x:c r="E26" s="39" t="n">
        <x:f>D26-C26</x:f>
        <x:v>0</x:v>
      </x:c>
      <x:c r="F26" s="37" t="n">
        <x:f>IF(C26=0,"",E26/ABS(C26))</x:f>
        <x:v>0</x:v>
      </x:c>
      <x:c r="G26" s="44" t="str">
        <x:v>No added flash programming</x:v>
      </x:c>
    </x:row>
    <x:row r="28">
      <x:c r="A28" s="46" t="str">
        <x:v>Key findings</x:v>
      </x:c>
      <x:c r="B28" s="46" t="str">
        <x:v>Key findings</x:v>
      </x:c>
      <x:c r="C28" s="46" t="str">
        <x:v>Key findings</x:v>
      </x:c>
      <x:c r="D28" s="46" t="str">
        <x:v>Key findings</x:v>
      </x:c>
      <x:c r="E28" s="46" t="str">
        <x:v>Key findings</x:v>
      </x:c>
      <x:c r="F28" s="46" t="str">
        <x:v>Key findings</x:v>
      </x:c>
      <x:c r="G28" s="46" t="str">
        <x:v>Key findings</x:v>
      </x:c>
    </x:row>
    <x:row r="29">
      <x:c r="A29" s="48" t="str">
        <x:v>• Average response changed from 910.014 us to 909.179 us (-0.09%); performance was effectively unchanged.</x:v>
      </x:c>
      <x:c r="B29" s="48"/>
      <x:c r="C29" s="48"/>
      <x:c r="D29" s="48"/>
      <x:c r="E29" s="48"/>
      <x:c r="F29" s="48"/>
      <x:c r="G29" s="48"/>
    </x:row>
    <x:row r="30">
      <x:c r="A30" s="48" t="str">
        <x:v>• Final mu decreased from 5.813900 to 5.342528 (-8.11%), and SSD host-WAM range changed by -8.59%.</x:v>
      </x:c>
      <x:c r="B30" s="48"/>
      <x:c r="C30" s="48"/>
      <x:c r="D30" s="48"/>
      <x:c r="E30" s="48"/>
      <x:c r="F30" s="48"/>
      <x:c r="G30" s="48"/>
    </x:row>
    <x:row r="31">
      <x:c r="A31" s="48" t="str">
        <x:v>• Redirect operations increased from 69 to 151 (118.84%); migration remained zero.</x:v>
      </x:c>
      <x:c r="B31" s="48"/>
      <x:c r="C31" s="48"/>
      <x:c r="D31" s="48"/>
      <x:c r="E31" s="48"/>
      <x:c r="F31" s="48"/>
      <x:c r="G31" s="48"/>
    </x:row>
    <x:row r="32">
      <x:c r="A32" s="48" t="str">
        <x:v>• Mapping entries increased from 13,108 to 838,860 (64.00×), the main cost of the smaller zone.</x:v>
      </x:c>
      <x:c r="B32" s="48"/>
      <x:c r="C32" s="48"/>
      <x:c r="D32" s="48"/>
      <x:c r="E32" s="48"/>
      <x:c r="F32" s="48"/>
      <x:c r="G32" s="48"/>
    </x:row>
    <x:row r="33">
      <x:c r="A33" s="48" t="str">
        <x:v>• Host/cumulative WAM, flash page programs, and approximate flash WAF were unchanged because no migration-copy writes occurred.</x:v>
      </x:c>
      <x:c r="B33" s="48"/>
      <x:c r="C33" s="48"/>
      <x:c r="D33" s="48"/>
      <x:c r="E33" s="48"/>
      <x:c r="F33" s="48"/>
      <x:c r="G33" s="48"/>
    </x:row>
    <x:row r="34">
      <x:c r="A34" s="48" t="str">
        <x:v>• Conclusion: one-stripe zones improved final balance modestly but required substantially more redirect activity and mapping metadata.</x:v>
      </x:c>
      <x:c r="B34" s="48"/>
      <x:c r="C34" s="48"/>
      <x:c r="D34" s="48"/>
      <x:c r="E34" s="48"/>
      <x:c r="F34" s="48"/>
      <x:c r="G34" s="48"/>
    </x:row>
  </x:sheetData>
  <x:mergeCells>
    <x:mergeCell ref="A1:G1"/>
    <x:mergeCell ref="A2:G2"/>
    <x:mergeCell ref="B4:G4"/>
    <x:mergeCell ref="B5:G5"/>
    <x:mergeCell ref="B6:G6"/>
    <x:mergeCell ref="B7:G7"/>
    <x:mergeCell ref="B8:G8"/>
    <x:mergeCell ref="A28:G28"/>
    <x:mergeCell ref="A29:G29"/>
    <x:mergeCell ref="A30:G30"/>
    <x:mergeCell ref="A31:G31"/>
    <x:mergeCell ref="A32:G32"/>
    <x:mergeCell ref="A33:G33"/>
    <x:mergeCell ref="A34:G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42" hidden="0" customWidth="1"/>
    <x:col min="31" max="31" width="4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</x:cols>
  <x:sheetData>
    <x:row r="1" ht="30" customHeight="1">
      <x:c r="A1" s="4" t="str">
        <x:v>Raw Metrics — Parsed directly from output XML</x:v>
      </x:c>
      <x:c r="B1" s="4" t="str">
        <x:v>Raw Metrics — Parsed directly from output XML</x:v>
      </x:c>
      <x:c r="C1" s="4" t="str">
        <x:v>Raw Metrics — Parsed directly from output XML</x:v>
      </x:c>
      <x:c r="D1" s="4" t="str">
        <x:v>Raw Metrics — Parsed directly from output XML</x:v>
      </x:c>
      <x:c r="E1" s="4" t="str">
        <x:v>Raw Metrics — Parsed directly from output XML</x:v>
      </x:c>
      <x:c r="F1" s="4" t="str">
        <x:v>Raw Metrics — Parsed directly from output XML</x:v>
      </x:c>
      <x:c r="G1" s="4" t="str">
        <x:v>Raw Metrics — Parsed directly from output XML</x:v>
      </x:c>
      <x:c r="H1" s="4" t="str">
        <x:v>Raw Metrics — Parsed directly from output XML</x:v>
      </x:c>
      <x:c r="I1" s="4" t="str">
        <x:v>Raw Metrics — Parsed directly from output XML</x:v>
      </x:c>
      <x:c r="J1" s="4" t="str">
        <x:v>Raw Metrics — Parsed directly from output XML</x:v>
      </x:c>
      <x:c r="K1" s="4" t="str">
        <x:v>Raw Metrics — Parsed directly from output XML</x:v>
      </x:c>
      <x:c r="L1" s="4" t="str">
        <x:v>Raw Metrics — Parsed directly from output XML</x:v>
      </x:c>
      <x:c r="M1" s="4" t="str">
        <x:v>Raw Metrics — Parsed directly from output XML</x:v>
      </x:c>
      <x:c r="N1" s="4" t="str">
        <x:v>Raw Metrics — Parsed directly from output XML</x:v>
      </x:c>
      <x:c r="O1" s="4" t="str">
        <x:v>Raw Metrics — Parsed directly from output XML</x:v>
      </x:c>
      <x:c r="P1" s="4" t="str">
        <x:v>Raw Metrics — Parsed directly from output XML</x:v>
      </x:c>
      <x:c r="Q1" s="4" t="str">
        <x:v>Raw Metrics — Parsed directly from output XML</x:v>
      </x:c>
      <x:c r="R1" s="4" t="str">
        <x:v>Raw Metrics — Parsed directly from output XML</x:v>
      </x:c>
      <x:c r="S1" s="4" t="str">
        <x:v>Raw Metrics — Parsed directly from output XML</x:v>
      </x:c>
      <x:c r="T1" s="4" t="str">
        <x:v>Raw Metrics — Parsed directly from output XML</x:v>
      </x:c>
      <x:c r="U1" s="4" t="str">
        <x:v>Raw Metrics — Parsed directly from output XML</x:v>
      </x:c>
      <x:c r="V1" s="4" t="str">
        <x:v>Raw Metrics — Parsed directly from output XML</x:v>
      </x:c>
      <x:c r="W1" s="4" t="str">
        <x:v>Raw Metrics — Parsed directly from output XML</x:v>
      </x:c>
      <x:c r="X1" s="4" t="str">
        <x:v>Raw Metrics — Parsed directly from output XML</x:v>
      </x:c>
      <x:c r="Y1" s="4" t="str">
        <x:v>Raw Metrics — Parsed directly from output XML</x:v>
      </x:c>
      <x:c r="Z1" s="4" t="str">
        <x:v>Raw Metrics — Parsed directly from output XML</x:v>
      </x:c>
      <x:c r="AA1" s="4" t="str">
        <x:v>Raw Metrics — Parsed directly from output XML</x:v>
      </x:c>
      <x:c r="AB1" s="4" t="str">
        <x:v>Raw Metrics — Parsed directly from output XML</x:v>
      </x:c>
      <x:c r="AC1" s="4" t="str">
        <x:v>Raw Metrics — Parsed directly from output XML</x:v>
      </x:c>
      <x:c r="AD1" s="4" t="str">
        <x:v>Raw Metrics — Parsed directly from output XML</x:v>
      </x:c>
      <x:c r="AE1" s="4" t="str">
        <x:v>Raw Metrics — Parsed directly from output XML</x:v>
      </x:c>
    </x:row>
    <x:row r="2" ht="34" customHeight="1">
      <x:c r="A2" s="23" t="str">
        <x:v>Experiment_ID</x:v>
      </x:c>
      <x:c r="B2" s="24" t="str">
        <x:v>Experiment</x:v>
      </x:c>
      <x:c r="C2" s="24" t="str">
        <x:v>Workload</x:v>
      </x:c>
      <x:c r="D2" s="24" t="str">
        <x:v>Requests</x:v>
      </x:c>
      <x:c r="E2" s="24" t="str">
        <x:v>Read_Requests</x:v>
      </x:c>
      <x:c r="F2" s="24" t="str">
        <x:v>Write_Requests</x:v>
      </x:c>
      <x:c r="G2" s="24" t="str">
        <x:v>Total_SubRequests</x:v>
      </x:c>
      <x:c r="H2" s="24" t="str">
        <x:v>IOPS</x:v>
      </x:c>
      <x:c r="I2" s="24" t="str">
        <x:v>Avg_Response_us</x:v>
      </x:c>
      <x:c r="J2" s="24" t="str">
        <x:v>Min_Response_us</x:v>
      </x:c>
      <x:c r="K2" s="24" t="str">
        <x:v>Max_Response_us</x:v>
      </x:c>
      <x:c r="L2" s="24" t="str">
        <x:v>SWANS_Last_Mu_pp</x:v>
      </x:c>
      <x:c r="M2" s="24" t="str">
        <x:v>Epoch_Evaluations</x:v>
      </x:c>
      <x:c r="N2" s="24" t="str">
        <x:v>Normal_Epochs</x:v>
      </x:c>
      <x:c r="O2" s="24" t="str">
        <x:v>Redirect_Epochs</x:v>
      </x:c>
      <x:c r="P2" s="24" t="str">
        <x:v>Migration_Epochs</x:v>
      </x:c>
      <x:c r="Q2" s="24" t="str">
        <x:v>State_Transitions</x:v>
      </x:c>
      <x:c r="R2" s="24" t="str">
        <x:v>Redirect_Operations</x:v>
      </x:c>
      <x:c r="S2" s="24" t="str">
        <x:v>Migration_Operations</x:v>
      </x:c>
      <x:c r="T2" s="24" t="str">
        <x:v>Mapping_Entries</x:v>
      </x:c>
      <x:c r="U2" s="24" t="str">
        <x:v>Host_WAM_Sectors</x:v>
      </x:c>
      <x:c r="V2" s="24" t="str">
        <x:v>Migration_WAM_Sectors</x:v>
      </x:c>
      <x:c r="W2" s="24" t="str">
        <x:v>Cumulative_WAM_Sectors</x:v>
      </x:c>
      <x:c r="X2" s="24" t="str">
        <x:v>Flash_Page_Programs</x:v>
      </x:c>
      <x:c r="Y2" s="24" t="str">
        <x:v>Flash_Programmed_Bytes</x:v>
      </x:c>
      <x:c r="Z2" s="24" t="str">
        <x:v>Approx_Flash_WAF</x:v>
      </x:c>
      <x:c r="AA2" s="24" t="str">
        <x:v>Logical_Write_Sector_Amplification</x:v>
      </x:c>
      <x:c r="AB2" s="24" t="str">
        <x:v>Average_Split_Count</x:v>
      </x:c>
      <x:c r="AC2" s="24" t="str">
        <x:v>Bad_Blocks</x:v>
      </x:c>
      <x:c r="AD2" s="24" t="str">
        <x:v>OP_Exhausted</x:v>
      </x:c>
      <x:c r="AE2" s="25" t="str">
        <x:v>Result_XML</x:v>
      </x:c>
    </x:row>
    <x:row r="3">
      <x:c r="A3" s="29" t="str">
        <x:v>BASE-16M</x:v>
      </x:c>
      <x:c r="B3" s="29" t="str">
        <x:v>gun_swans 16 MiB</x:v>
      </x:c>
      <x:c r="C3" s="29" t="str">
        <x:v>SSDDevice_3.HostInterface</x:v>
      </x:c>
      <x:c r="D3" s="32" t="n">
        <x:v>500000</x:v>
      </x:c>
      <x:c r="E3" s="32" t="n">
        <x:v>33330</x:v>
      </x:c>
      <x:c r="F3" s="32" t="n">
        <x:v>466670</x:v>
      </x:c>
      <x:c r="G3" s="32" t="n">
        <x:v>502614</x:v>
      </x:c>
      <x:c r="H3" s="32" t="n">
        <x:v>21.815009</x:v>
      </x:c>
      <x:c r="I3" s="55" t="n">
        <x:v>910.013928</x:v>
      </x:c>
      <x:c r="J3" s="55" t="n">
        <x:v>76.846</x:v>
      </x:c>
      <x:c r="K3" s="55" t="n">
        <x:v>10087.825</x:v>
      </x:c>
      <x:c r="L3" s="55" t="n">
        <x:v>5.8139</x:v>
      </x:c>
      <x:c r="M3" s="57" t="n">
        <x:v>573</x:v>
      </x:c>
      <x:c r="N3" s="57" t="n">
        <x:v>298</x:v>
      </x:c>
      <x:c r="O3" s="57" t="n">
        <x:v>275</x:v>
      </x:c>
      <x:c r="P3" s="57" t="n">
        <x:v>0</x:v>
      </x:c>
      <x:c r="Q3" s="57" t="n">
        <x:v>5</x:v>
      </x:c>
      <x:c r="R3" s="57" t="n">
        <x:v>69</x:v>
      </x:c>
      <x:c r="S3" s="57" t="n">
        <x:v>0</x:v>
      </x:c>
      <x:c r="T3" s="57" t="n">
        <x:v>13108</x:v>
      </x:c>
      <x:c r="U3" s="57" t="n">
        <x:v>2234669</x:v>
      </x:c>
      <x:c r="V3" s="57" t="n">
        <x:v>0</x:v>
      </x:c>
      <x:c r="W3" s="57" t="n">
        <x:v>2234669</x:v>
      </x:c>
      <x:c r="X3" s="57" t="n">
        <x:v>527755</x:v>
      </x:c>
      <x:c r="Y3" s="57" t="n">
        <x:v>4323368960</x:v>
      </x:c>
      <x:c r="Z3" s="58" t="n">
        <x:v>3.778671</x:v>
      </x:c>
      <x:c r="AA3" s="58" t="n">
        <x:v>1</x:v>
      </x:c>
      <x:c r="AB3" s="58" t="n">
        <x:v>1.005228</x:v>
      </x:c>
      <x:c r="AC3" s="57" t="n">
        <x:v>0</x:v>
      </x:c>
      <x:c r="AD3" s="53" t="b">
        <x:v>0</x:v>
      </x:c>
      <x:c r="AE3" s="29" t="str">
        <x:v>raw_xml\01_baseline_16MiB_prxy0_500k.xml</x:v>
      </x:c>
    </x:row>
    <x:row r="4">
      <x:c r="A4" s="31" t="str">
        <x:v>STRIPE-ZONE</x:v>
      </x:c>
      <x:c r="B4" s="31" t="str">
        <x:v>gun_stripezone_swans 256 KiB</x:v>
      </x:c>
      <x:c r="C4" s="31" t="str">
        <x:v>SSDDevice_3.HostInterface</x:v>
      </x:c>
      <x:c r="D4" s="34" t="n">
        <x:v>500000</x:v>
      </x:c>
      <x:c r="E4" s="34" t="n">
        <x:v>33330</x:v>
      </x:c>
      <x:c r="F4" s="34" t="n">
        <x:v>466670</x:v>
      </x:c>
      <x:c r="G4" s="34" t="n">
        <x:v>502614</x:v>
      </x:c>
      <x:c r="H4" s="34" t="n">
        <x:v>21.815009</x:v>
      </x:c>
      <x:c r="I4" s="56" t="n">
        <x:v>909.178571</x:v>
      </x:c>
      <x:c r="J4" s="56" t="n">
        <x:v>76.846</x:v>
      </x:c>
      <x:c r="K4" s="56" t="n">
        <x:v>10087.825</x:v>
      </x:c>
      <x:c r="L4" s="56" t="n">
        <x:v>5.342528</x:v>
      </x:c>
      <x:c r="M4" s="39" t="n">
        <x:v>573</x:v>
      </x:c>
      <x:c r="N4" s="39" t="n">
        <x:v>110</x:v>
      </x:c>
      <x:c r="O4" s="39" t="n">
        <x:v>463</x:v>
      </x:c>
      <x:c r="P4" s="39" t="n">
        <x:v>0</x:v>
      </x:c>
      <x:c r="Q4" s="39" t="n">
        <x:v>9</x:v>
      </x:c>
      <x:c r="R4" s="39" t="n">
        <x:v>151</x:v>
      </x:c>
      <x:c r="S4" s="39" t="n">
        <x:v>0</x:v>
      </x:c>
      <x:c r="T4" s="39" t="n">
        <x:v>838860</x:v>
      </x:c>
      <x:c r="U4" s="39" t="n">
        <x:v>2234669</x:v>
      </x:c>
      <x:c r="V4" s="39" t="n">
        <x:v>0</x:v>
      </x:c>
      <x:c r="W4" s="39" t="n">
        <x:v>2234669</x:v>
      </x:c>
      <x:c r="X4" s="39" t="n">
        <x:v>527755</x:v>
      </x:c>
      <x:c r="Y4" s="39" t="n">
        <x:v>4323368960</x:v>
      </x:c>
      <x:c r="Z4" s="59" t="n">
        <x:v>3.778671</x:v>
      </x:c>
      <x:c r="AA4" s="59" t="n">
        <x:v>1</x:v>
      </x:c>
      <x:c r="AB4" s="59" t="n">
        <x:v>1.005228</x:v>
      </x:c>
      <x:c r="AC4" s="39" t="n">
        <x:v>0</x:v>
      </x:c>
      <x:c r="AD4" s="54" t="b">
        <x:v>0</x:v>
      </x:c>
      <x:c r="AE4" s="31" t="str">
        <x:v>raw_xml\02_stripezone_256KiB_prxy0_500k.xml</x:v>
      </x:c>
    </x:row>
  </x:sheetData>
  <x:mergeCells>
    <x:mergeCell ref="A1:A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18" max="18" width="22" hidden="0" customWidth="1"/>
    <x:col min="20" max="20" width="22" hidden="0" customWidth="1"/>
    <x:col min="21" max="21" width="22" hidden="0" customWidth="1"/>
    <x:col min="24" max="24" width="30" hidden="0" customWidth="1"/>
    <x:col min="25" max="25" width="6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9" max="19" width="16" hidden="0" customWidth="1"/>
    <x:col min="22" max="22" width="16" hidden="0" customWidth="1"/>
    <x:col min="23" max="23" width="16" hidden="0" customWidth="1"/>
    <x:col min="26" max="26" width="16" hidden="0" customWidth="1"/>
  </x:cols>
  <x:sheetData>
    <x:row r="1" ht="30" customHeight="1">
      <x:c r="A1" s="4" t="str">
        <x:v>Parameters — Controlled inputs and trace identity</x:v>
      </x:c>
      <x:c r="B1" s="4" t="str">
        <x:v>Parameters — Controlled inputs and trace identity</x:v>
      </x:c>
      <x:c r="C1" s="4" t="str">
        <x:v>Parameters — Controlled inputs and trace identity</x:v>
      </x:c>
      <x:c r="D1" s="4" t="str">
        <x:v>Parameters — Controlled inputs and trace identity</x:v>
      </x:c>
      <x:c r="E1" s="4" t="str">
        <x:v>Parameters — Controlled inputs and trace identity</x:v>
      </x:c>
      <x:c r="F1" s="4" t="str">
        <x:v>Parameters — Controlled inputs and trace identity</x:v>
      </x:c>
      <x:c r="G1" s="4" t="str">
        <x:v>Parameters — Controlled inputs and trace identity</x:v>
      </x:c>
      <x:c r="H1" s="4" t="str">
        <x:v>Parameters — Controlled inputs and trace identity</x:v>
      </x:c>
      <x:c r="I1" s="4" t="str">
        <x:v>Parameters — Controlled inputs and trace identity</x:v>
      </x:c>
      <x:c r="J1" s="4" t="str">
        <x:v>Parameters — Controlled inputs and trace identity</x:v>
      </x:c>
      <x:c r="K1" s="4" t="str">
        <x:v>Parameters — Controlled inputs and trace identity</x:v>
      </x:c>
      <x:c r="L1" s="4" t="str">
        <x:v>Parameters — Controlled inputs and trace identity</x:v>
      </x:c>
      <x:c r="M1" s="4" t="str">
        <x:v>Parameters — Controlled inputs and trace identity</x:v>
      </x:c>
      <x:c r="N1" s="4" t="str">
        <x:v>Parameters — Controlled inputs and trace identity</x:v>
      </x:c>
      <x:c r="O1" s="4" t="str">
        <x:v>Parameters — Controlled inputs and trace identity</x:v>
      </x:c>
      <x:c r="P1" s="4" t="str">
        <x:v>Parameters — Controlled inputs and trace identity</x:v>
      </x:c>
      <x:c r="Q1" s="4" t="str">
        <x:v>Parameters — Controlled inputs and trace identity</x:v>
      </x:c>
      <x:c r="R1" s="4" t="str">
        <x:v>Parameters — Controlled inputs and trace identity</x:v>
      </x:c>
      <x:c r="S1" s="4" t="str">
        <x:v>Parameters — Controlled inputs and trace identity</x:v>
      </x:c>
      <x:c r="T1" s="4" t="str">
        <x:v>Parameters — Controlled inputs and trace identity</x:v>
      </x:c>
      <x:c r="U1" s="4" t="str">
        <x:v>Parameters — Controlled inputs and trace identity</x:v>
      </x:c>
      <x:c r="V1" s="4" t="str">
        <x:v>Parameters — Controlled inputs and trace identity</x:v>
      </x:c>
      <x:c r="W1" s="4" t="str">
        <x:v>Parameters — Controlled inputs and trace identity</x:v>
      </x:c>
      <x:c r="X1" s="4" t="str">
        <x:v>Parameters — Controlled inputs and trace identity</x:v>
      </x:c>
      <x:c r="Y1" s="4" t="str">
        <x:v>Parameters — Controlled inputs and trace identity</x:v>
      </x:c>
      <x:c r="Z1" s="4" t="str">
        <x:v>Parameters — Controlled inputs and trace identity</x:v>
      </x:c>
    </x:row>
    <x:row r="2" ht="34" customHeight="1">
      <x:c r="A2" s="23" t="str">
        <x:v>Experiment_ID</x:v>
      </x:c>
      <x:c r="B2" s="24" t="str">
        <x:v>Experiment</x:v>
      </x:c>
      <x:c r="C2" s="24" t="str">
        <x:v>SSD_Count</x:v>
      </x:c>
      <x:c r="D2" s="24" t="str">
        <x:v>Stripe_Unit_LBA</x:v>
      </x:c>
      <x:c r="E2" s="24" t="str">
        <x:v>Stripe_Unit_KiB</x:v>
      </x:c>
      <x:c r="F2" s="24" t="str">
        <x:v>Zone_Size_LBA</x:v>
      </x:c>
      <x:c r="G2" s="24" t="str">
        <x:v>Zone_Size_KiB</x:v>
      </x:c>
      <x:c r="H2" s="24" t="str">
        <x:v>Stripes_per_Zone</x:v>
      </x:c>
      <x:c r="I2" s="24" t="str">
        <x:v>Zone_Stripe_Multiplier</x:v>
      </x:c>
      <x:c r="J2" s="24" t="str">
        <x:v>SWANS_Enabled</x:v>
      </x:c>
      <x:c r="K2" s="24" t="str">
        <x:v>Epoch_ns</x:v>
      </x:c>
      <x:c r="L2" s="24" t="str">
        <x:v>Epoch_s</x:v>
      </x:c>
      <x:c r="M2" s="24" t="str">
        <x:v>TH_Precautionary</x:v>
      </x:c>
      <x:c r="N2" s="24" t="str">
        <x:v>TH_Critical</x:v>
      </x:c>
      <x:c r="O2" s="24" t="str">
        <x:v>Max_Concurrent_Migrations</x:v>
      </x:c>
      <x:c r="P2" s="24" t="str">
        <x:v>Migration_Buffer_Limit</x:v>
      </x:c>
      <x:c r="Q2" s="24" t="str">
        <x:v>Working_Queue_Limit</x:v>
      </x:c>
      <x:c r="R2" s="24" t="str">
        <x:v>Buffered_Write_Mode</x:v>
      </x:c>
      <x:c r="S2" s="24" t="str">
        <x:v>OP_Ratio</x:v>
      </x:c>
      <x:c r="T2" s="24" t="str">
        <x:v>Caching_Mechanism</x:v>
      </x:c>
      <x:c r="U2" s="24" t="str">
        <x:v>Device_Cache_Mode</x:v>
      </x:c>
      <x:c r="V2" s="24" t="str">
        <x:v>Initial_Occupancy_pct</x:v>
      </x:c>
      <x:c r="W2" s="24" t="str">
        <x:v>PE_Cycles_Limit</x:v>
      </x:c>
      <x:c r="X2" s="24" t="str">
        <x:v>Trace_File</x:v>
      </x:c>
      <x:c r="Y2" s="24" t="str">
        <x:v>Trace_SHA256</x:v>
      </x:c>
      <x:c r="Z2" s="25" t="str">
        <x:v>Trace_Size_Bytes</x:v>
      </x:c>
    </x:row>
    <x:row r="3">
      <x:c r="A3" s="29" t="str">
        <x:v>BASE-16M</x:v>
      </x:c>
      <x:c r="B3" s="29" t="str">
        <x:v>gun_swans 16 MiB</x:v>
      </x:c>
      <x:c r="C3" s="40" t="n">
        <x:v>4</x:v>
      </x:c>
      <x:c r="D3" s="40" t="n">
        <x:v>512</x:v>
      </x:c>
      <x:c r="E3" s="40" t="n">
        <x:f>D3*512/1024</x:f>
        <x:v>256</x:v>
      </x:c>
      <x:c r="F3" s="40" t="n">
        <x:v>32768</x:v>
      </x:c>
      <x:c r="G3" s="40" t="n">
        <x:f>F3*512/1024</x:f>
        <x:v>16384</x:v>
      </x:c>
      <x:c r="H3" s="40" t="n">
        <x:f>F3/D3</x:f>
        <x:v>64</x:v>
      </x:c>
      <x:c r="I3" s="40" t="n">
        <x:v>8</x:v>
      </x:c>
      <x:c r="J3" s="53" t="b">
        <x:v>1</x:v>
      </x:c>
      <x:c r="K3" s="40" t="n">
        <x:v>40000000000</x:v>
      </x:c>
      <x:c r="L3" s="40" t="n">
        <x:f>K3/1000000000</x:f>
        <x:v>40</x:v>
      </x:c>
      <x:c r="M3" s="40" t="n">
        <x:v>5</x:v>
      </x:c>
      <x:c r="N3" s="40" t="n">
        <x:v>15</x:v>
      </x:c>
      <x:c r="O3" s="40" t="n">
        <x:v>1</x:v>
      </x:c>
      <x:c r="P3" s="40" t="n">
        <x:v>2048</x:v>
      </x:c>
      <x:c r="Q3" s="40" t="n">
        <x:v>64</x:v>
      </x:c>
      <x:c r="R3" s="29" t="str">
        <x:v>DEFERRED</x:v>
      </x:c>
      <x:c r="S3" s="61" t="n">
        <x:v>0.2</x:v>
      </x:c>
      <x:c r="T3" s="29" t="str">
        <x:v>SIMPLE</x:v>
      </x:c>
      <x:c r="U3" s="29" t="str">
        <x:v>TURNED_OFF</x:v>
      </x:c>
      <x:c r="V3" s="57" t="n">
        <x:v>70</x:v>
      </x:c>
      <x:c r="W3" s="57" t="n">
        <x:v>10000</x:v>
      </x:c>
      <x:c r="X3" s="29" t="str">
        <x:v>prxy0_500k_realtime.trace</x:v>
      </x:c>
      <x:c r="Y3" s="29" t="str">
        <x:v>3B818444E5892647BDB0EDFAB221663C0E0ABB264A89C0442D54D0AC259B51BD</x:v>
      </x:c>
      <x:c r="Z3" s="57" t="n">
        <x:v>14301129</x:v>
      </x:c>
    </x:row>
    <x:row r="4">
      <x:c r="A4" s="31" t="str">
        <x:v>STRIPE-ZONE</x:v>
      </x:c>
      <x:c r="B4" s="31" t="str">
        <x:v>gun_stripezone_swans 256 KiB</x:v>
      </x:c>
      <x:c r="C4" s="60" t="n">
        <x:v>4</x:v>
      </x:c>
      <x:c r="D4" s="60" t="n">
        <x:v>512</x:v>
      </x:c>
      <x:c r="E4" s="60" t="n">
        <x:f>D4*512/1024</x:f>
        <x:v>256</x:v>
      </x:c>
      <x:c r="F4" s="60" t="n">
        <x:v>512</x:v>
      </x:c>
      <x:c r="G4" s="60" t="n">
        <x:f>F4*512/1024</x:f>
        <x:v>256</x:v>
      </x:c>
      <x:c r="H4" s="60" t="n">
        <x:f>F4/D4</x:f>
        <x:v>1</x:v>
      </x:c>
      <x:c r="I4" s="60" t="n">
        <x:v>1</x:v>
      </x:c>
      <x:c r="J4" s="54" t="b">
        <x:v>1</x:v>
      </x:c>
      <x:c r="K4" s="60" t="n">
        <x:v>40000000000</x:v>
      </x:c>
      <x:c r="L4" s="60" t="n">
        <x:f>K4/1000000000</x:f>
        <x:v>40</x:v>
      </x:c>
      <x:c r="M4" s="60" t="n">
        <x:v>5</x:v>
      </x:c>
      <x:c r="N4" s="60" t="n">
        <x:v>15</x:v>
      </x:c>
      <x:c r="O4" s="60" t="n">
        <x:v>1</x:v>
      </x:c>
      <x:c r="P4" s="60" t="n">
        <x:v>2048</x:v>
      </x:c>
      <x:c r="Q4" s="60" t="n">
        <x:v>64</x:v>
      </x:c>
      <x:c r="R4" s="31" t="str">
        <x:v>DEFERRED</x:v>
      </x:c>
      <x:c r="S4" s="62" t="n">
        <x:v>0.2</x:v>
      </x:c>
      <x:c r="T4" s="31" t="str">
        <x:v>SIMPLE</x:v>
      </x:c>
      <x:c r="U4" s="31" t="str">
        <x:v>TURNED_OFF</x:v>
      </x:c>
      <x:c r="V4" s="39" t="n">
        <x:v>70</x:v>
      </x:c>
      <x:c r="W4" s="39" t="n">
        <x:v>10000</x:v>
      </x:c>
      <x:c r="X4" s="31" t="str">
        <x:v>prxy0_500k_realtime.trace</x:v>
      </x:c>
      <x:c r="Y4" s="31" t="str">
        <x:v>3B818444E5892647BDB0EDFAB221663C0E0ABB264A89C0442D54D0AC259B51BD</x:v>
      </x:c>
      <x:c r="Z4" s="39" t="n">
        <x:v>14301129</x:v>
      </x:c>
    </x:row>
  </x:sheetData>
  <x:mergeCells>
    <x:mergeCell ref="A1:Z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4" t="str">
        <x:v>Raw SSD WAM — Sector counts parsed from output XML</x:v>
      </x:c>
      <x:c r="B1" s="4" t="str">
        <x:v>Raw SSD WAM — Sector counts parsed from output XML</x:v>
      </x:c>
      <x:c r="C1" s="4" t="str">
        <x:v>Raw SSD WAM — Sector counts parsed from output XML</x:v>
      </x:c>
      <x:c r="D1" s="4" t="str">
        <x:v>Raw SSD WAM — Sector counts parsed from output XML</x:v>
      </x:c>
      <x:c r="E1" s="4" t="str">
        <x:v>Raw SSD WAM — Sector counts parsed from output XML</x:v>
      </x:c>
      <x:c r="F1" s="4" t="str">
        <x:v>Raw SSD WAM — Sector counts parsed from output XML</x:v>
      </x:c>
    </x:row>
    <x:row r="2" ht="34" customHeight="1">
      <x:c r="A2" s="23" t="str">
        <x:v>Experiment_ID</x:v>
      </x:c>
      <x:c r="B2" s="24" t="str">
        <x:v>Experiment</x:v>
      </x:c>
      <x:c r="C2" s="24" t="str">
        <x:v>SSD_ID</x:v>
      </x:c>
      <x:c r="D2" s="24" t="str">
        <x:v>Host_Write_Sectors</x:v>
      </x:c>
      <x:c r="E2" s="24" t="str">
        <x:v>Migration_Write_Sectors</x:v>
      </x:c>
      <x:c r="F2" s="25" t="str">
        <x:v>Cumulative_Write_Sectors</x:v>
      </x:c>
    </x:row>
    <x:row r="3">
      <x:c r="A3" s="29" t="str">
        <x:v>BASE-16M</x:v>
      </x:c>
      <x:c r="B3" s="29" t="str">
        <x:v>gun_swans 16 MiB</x:v>
      </x:c>
      <x:c r="C3" s="57" t="n">
        <x:v>0</x:v>
      </x:c>
      <x:c r="D3" s="57" t="n">
        <x:v>763907</x:v>
      </x:c>
      <x:c r="E3" s="57" t="n">
        <x:v>0</x:v>
      </x:c>
      <x:c r="F3" s="57" t="n">
        <x:v>763907</x:v>
      </x:c>
    </x:row>
    <x:row r="4">
      <x:c r="A4" s="30" t="str">
        <x:v>BASE-16M</x:v>
      </x:c>
      <x:c r="B4" s="30" t="str">
        <x:v>gun_swans 16 MiB</x:v>
      </x:c>
      <x:c r="C4" s="38" t="n">
        <x:v>1</x:v>
      </x:c>
      <x:c r="D4" s="38" t="n">
        <x:v>543632</x:v>
      </x:c>
      <x:c r="E4" s="38" t="n">
        <x:v>0</x:v>
      </x:c>
      <x:c r="F4" s="38" t="n">
        <x:v>543632</x:v>
      </x:c>
    </x:row>
    <x:row r="5">
      <x:c r="A5" s="30" t="str">
        <x:v>BASE-16M</x:v>
      </x:c>
      <x:c r="B5" s="30" t="str">
        <x:v>gun_swans 16 MiB</x:v>
      </x:c>
      <x:c r="C5" s="38" t="n">
        <x:v>2</x:v>
      </x:c>
      <x:c r="D5" s="38" t="n">
        <x:v>404067</x:v>
      </x:c>
      <x:c r="E5" s="38" t="n">
        <x:v>0</x:v>
      </x:c>
      <x:c r="F5" s="38" t="n">
        <x:v>404067</x:v>
      </x:c>
    </x:row>
    <x:row r="6">
      <x:c r="A6" s="30" t="str">
        <x:v>BASE-16M</x:v>
      </x:c>
      <x:c r="B6" s="30" t="str">
        <x:v>gun_swans 16 MiB</x:v>
      </x:c>
      <x:c r="C6" s="38" t="n">
        <x:v>3</x:v>
      </x:c>
      <x:c r="D6" s="38" t="n">
        <x:v>523063</x:v>
      </x:c>
      <x:c r="E6" s="38" t="n">
        <x:v>0</x:v>
      </x:c>
      <x:c r="F6" s="38" t="n">
        <x:v>523063</x:v>
      </x:c>
    </x:row>
    <x:row r="7">
      <x:c r="A7" s="30" t="str">
        <x:v>STRIPE-ZONE</x:v>
      </x:c>
      <x:c r="B7" s="30" t="str">
        <x:v>gun_stripezone_swans 256 KiB</x:v>
      </x:c>
      <x:c r="C7" s="38" t="n">
        <x:v>0</x:v>
      </x:c>
      <x:c r="D7" s="38" t="n">
        <x:v>749287</x:v>
      </x:c>
      <x:c r="E7" s="38" t="n">
        <x:v>0</x:v>
      </x:c>
      <x:c r="F7" s="38" t="n">
        <x:v>749287</x:v>
      </x:c>
    </x:row>
    <x:row r="8">
      <x:c r="A8" s="30" t="str">
        <x:v>STRIPE-ZONE</x:v>
      </x:c>
      <x:c r="B8" s="30" t="str">
        <x:v>gun_stripezone_swans 256 KiB</x:v>
      </x:c>
      <x:c r="C8" s="38" t="n">
        <x:v>1</x:v>
      </x:c>
      <x:c r="D8" s="38" t="n">
        <x:v>541968</x:v>
      </x:c>
      <x:c r="E8" s="38" t="n">
        <x:v>0</x:v>
      </x:c>
      <x:c r="F8" s="38" t="n">
        <x:v>541968</x:v>
      </x:c>
    </x:row>
    <x:row r="9">
      <x:c r="A9" s="30" t="str">
        <x:v>STRIPE-ZONE</x:v>
      </x:c>
      <x:c r="B9" s="30" t="str">
        <x:v>gun_stripezone_swans 256 KiB</x:v>
      </x:c>
      <x:c r="C9" s="38" t="n">
        <x:v>2</x:v>
      </x:c>
      <x:c r="D9" s="38" t="n">
        <x:v>420351</x:v>
      </x:c>
      <x:c r="E9" s="38" t="n">
        <x:v>0</x:v>
      </x:c>
      <x:c r="F9" s="38" t="n">
        <x:v>420351</x:v>
      </x:c>
    </x:row>
    <x:row r="10">
      <x:c r="A10" s="31" t="str">
        <x:v>STRIPE-ZONE</x:v>
      </x:c>
      <x:c r="B10" s="31" t="str">
        <x:v>gun_stripezone_swans 256 KiB</x:v>
      </x:c>
      <x:c r="C10" s="39" t="n">
        <x:v>3</x:v>
      </x:c>
      <x:c r="D10" s="39" t="n">
        <x:v>523063</x:v>
      </x:c>
      <x:c r="E10" s="39" t="n">
        <x:v>0</x:v>
      </x:c>
      <x:c r="F10" s="39" t="n">
        <x:v>523063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0" customHeight="1">
      <x:c r="A1" s="4" t="str">
        <x:v>Per-SSD Host WAM Comparison</x:v>
      </x:c>
      <x:c r="B1" s="4" t="str">
        <x:v>Per-SSD Host WAM Comparison</x:v>
      </x:c>
      <x:c r="C1" s="4" t="str">
        <x:v>Per-SSD Host WAM Comparison</x:v>
      </x:c>
      <x:c r="D1" s="4" t="str">
        <x:v>Per-SSD Host WAM Comparison</x:v>
      </x:c>
      <x:c r="E1" s="4" t="str">
        <x:v>Per-SSD Host WAM Comparison</x:v>
      </x:c>
      <x:c r="F1" s="4" t="str">
        <x:v>Per-SSD Host WAM Comparison</x:v>
      </x:c>
      <x:c r="G1" s="4" t="str">
        <x:v>Per-SSD Host WAM Comparison</x:v>
      </x:c>
      <x:c r="H1" s="4" t="str">
        <x:v>Per-SSD Host WAM Comparison</x:v>
      </x:c>
    </x:row>
    <x:row r="2" ht="34" customHeight="1">
      <x:c r="A2" s="23" t="str">
        <x:v>SSD_ID</x:v>
      </x:c>
      <x:c r="B2" s="24" t="str">
        <x:v>16_MiB_Sectors</x:v>
      </x:c>
      <x:c r="C2" s="24" t="str">
        <x:v>256_KiB_Sectors</x:v>
      </x:c>
      <x:c r="D2" s="24" t="str">
        <x:v>Delta_Sectors</x:v>
      </x:c>
      <x:c r="E2" s="24" t="str">
        <x:v>Delta_pct</x:v>
      </x:c>
      <x:c r="F2" s="24" t="str">
        <x:v>16_MiB_Share</x:v>
      </x:c>
      <x:c r="G2" s="24" t="str">
        <x:v>256_KiB_Share</x:v>
      </x:c>
      <x:c r="H2" s="25" t="str">
        <x:v>Share_Delta_pp</x:v>
      </x:c>
    </x:row>
    <x:row r="3">
      <x:c r="A3" s="29" t="n">
        <x:v>0</x:v>
      </x:c>
      <x:c r="B3" s="57" t="n">
        <x:f>'Raw SSD WAM'!D3</x:f>
        <x:v>763907</x:v>
      </x:c>
      <x:c r="C3" s="57" t="n">
        <x:f>'Raw SSD WAM'!D7</x:f>
        <x:v>749287</x:v>
      </x:c>
      <x:c r="D3" s="57" t="n">
        <x:f>C3-B3</x:f>
        <x:v>-14620</x:v>
      </x:c>
      <x:c r="E3" s="35" t="n">
        <x:f>IF(B3=0,"",D3/ABS(B3))</x:f>
        <x:v>-0.01913845533553168</x:v>
      </x:c>
      <x:c r="F3" s="35" t="n">
        <x:f>B3/SUM($B$3:$B$6)</x:f>
        <x:v>0.3418434676455439</x:v>
      </x:c>
      <x:c r="G3" s="35" t="n">
        <x:f>C3/SUM($C$3:$C$6)</x:f>
        <x:v>0.33530111170826643</x:v>
      </x:c>
      <x:c r="H3" s="35" t="n">
        <x:f>G3-F3</x:f>
        <x:v>-0.0065423559372774776</x:v>
      </x:c>
    </x:row>
    <x:row r="4">
      <x:c r="A4" s="30" t="n">
        <x:v>1</x:v>
      </x:c>
      <x:c r="B4" s="38" t="n">
        <x:f>'Raw SSD WAM'!D4</x:f>
        <x:v>543632</x:v>
      </x:c>
      <x:c r="C4" s="38" t="n">
        <x:f>'Raw SSD WAM'!D8</x:f>
        <x:v>541968</x:v>
      </x:c>
      <x:c r="D4" s="38" t="n">
        <x:f>C4-B4</x:f>
        <x:v>-1664</x:v>
      </x:c>
      <x:c r="E4" s="36" t="n">
        <x:f>IF(B4=0,"",D4/ABS(B4))</x:f>
        <x:v>-0.0030608941342672984</x:v>
      </x:c>
      <x:c r="F4" s="36" t="n">
        <x:f>B4/SUM($B$3:$B$6)</x:f>
        <x:v>0.24327182235937403</x:v>
      </x:c>
      <x:c r="G4" s="36" t="n">
        <x:f>C4/SUM($C$3:$C$6)</x:f>
        <x:v>0.2425271930652817</x:v>
      </x:c>
      <x:c r="H4" s="36" t="n">
        <x:f>G4-F4</x:f>
        <x:v>-0.0007446292940923305</x:v>
      </x:c>
    </x:row>
    <x:row r="5">
      <x:c r="A5" s="30" t="n">
        <x:v>2</x:v>
      </x:c>
      <x:c r="B5" s="38" t="n">
        <x:f>'Raw SSD WAM'!D5</x:f>
        <x:v>404067</x:v>
      </x:c>
      <x:c r="C5" s="38" t="n">
        <x:f>'Raw SSD WAM'!D9</x:f>
        <x:v>420351</x:v>
      </x:c>
      <x:c r="D5" s="38" t="n">
        <x:f>C5-B5</x:f>
        <x:v>16284</x:v>
      </x:c>
      <x:c r="E5" s="36" t="n">
        <x:f>IF(B5=0,"",D5/ABS(B5))</x:f>
        <x:v>0.040300247236225675</x:v>
      </x:c>
      <x:c r="F5" s="36" t="n">
        <x:f>B5/SUM($B$3:$B$6)</x:f>
        <x:v>0.18081738279807882</x:v>
      </x:c>
      <x:c r="G5" s="36" t="n">
        <x:f>C5/SUM($C$3:$C$6)</x:f>
        <x:v>0.18810436802944866</x:v>
      </x:c>
      <x:c r="H5" s="36" t="n">
        <x:f>G5-F5</x:f>
        <x:v>0.007286985231369836</x:v>
      </x:c>
    </x:row>
    <x:row r="6">
      <x:c r="A6" s="30" t="n">
        <x:v>3</x:v>
      </x:c>
      <x:c r="B6" s="38" t="n">
        <x:f>'Raw SSD WAM'!D6</x:f>
        <x:v>523063</x:v>
      </x:c>
      <x:c r="C6" s="38" t="n">
        <x:f>'Raw SSD WAM'!D10</x:f>
        <x:v>523063</x:v>
      </x:c>
      <x:c r="D6" s="38" t="n">
        <x:f>C6-B6</x:f>
        <x:v>0</x:v>
      </x:c>
      <x:c r="E6" s="36" t="n">
        <x:f>IF(B6=0,"",D6/ABS(B6))</x:f>
        <x:v>0</x:v>
      </x:c>
      <x:c r="F6" s="36" t="n">
        <x:f>B6/SUM($B$3:$B$6)</x:f>
        <x:v>0.23406732719700324</x:v>
      </x:c>
      <x:c r="G6" s="36" t="n">
        <x:f>C6/SUM($C$3:$C$6)</x:f>
        <x:v>0.23406732719700324</x:v>
      </x:c>
      <x:c r="H6" s="36" t="n">
        <x:f>G6-F6</x:f>
        <x:v>0</x:v>
      </x:c>
    </x:row>
    <x:row r="7">
      <x:c r="A7" s="30"/>
      <x:c r="B7" s="38"/>
      <x:c r="C7" s="38"/>
      <x:c r="D7" s="38"/>
      <x:c r="E7" s="36"/>
      <x:c r="F7" s="36"/>
      <x:c r="G7" s="36"/>
      <x:c r="H7" s="36"/>
    </x:row>
    <x:row r="8">
      <x:c r="A8" s="65" t="str">
        <x:v>Total</x:v>
      </x:c>
      <x:c r="B8" s="67" t="n">
        <x:f>SUM(B3:B6)</x:f>
        <x:v>2234669</x:v>
      </x:c>
      <x:c r="C8" s="67" t="n">
        <x:f>SUM(C3:C6)</x:f>
        <x:v>2234669</x:v>
      </x:c>
      <x:c r="D8" s="67" t="n">
        <x:f>C8-B8</x:f>
        <x:v>0</x:v>
      </x:c>
      <x:c r="E8" s="69"/>
      <x:c r="F8" s="69" t="n">
        <x:f>SUM(F3:F6)</x:f>
        <x:v>1</x:v>
      </x:c>
      <x:c r="G8" s="69" t="n">
        <x:f>SUM(G3:G6)</x:f>
        <x:v>1</x:v>
      </x:c>
      <x:c r="H8" s="69" t="n">
        <x:f>G8-F8</x:f>
        <x:v>0</x:v>
      </x:c>
    </x:row>
    <x:row r="9">
      <x:c r="A9" s="66" t="str">
        <x:v>Max−Min range</x:v>
      </x:c>
      <x:c r="B9" s="68" t="n">
        <x:f>MAX(B3:B6)-MIN(B3:B6)</x:f>
        <x:v>359840</x:v>
      </x:c>
      <x:c r="C9" s="68" t="n">
        <x:f>MAX(C3:C6)-MIN(C3:C6)</x:f>
        <x:v>328936</x:v>
      </x:c>
      <x:c r="D9" s="68" t="n">
        <x:f>C9-B9</x:f>
        <x:v>-30904</x:v>
      </x:c>
      <x:c r="E9" s="70" t="n">
        <x:f>D9/B9</x:f>
        <x:v>-0.08588261449533126</x:v>
      </x:c>
      <x:c r="F9" s="70"/>
      <x:c r="G9" s="70"/>
      <x:c r="H9" s="70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62" hidden="0" customWidth="1"/>
    <x:col min="4" max="4" width="16" hidden="0" customWidth="1"/>
    <x:col min="5" max="5" width="24" hidden="0" customWidth="1"/>
    <x:col min="6" max="6" width="68" hidden="0" customWidth="1"/>
  </x:cols>
  <x:sheetData>
    <x:row r="1" ht="30" customHeight="1">
      <x:c r="A1" s="4" t="str">
        <x:v>Source File Manifest — Reproducibility and SHA-256</x:v>
      </x:c>
      <x:c r="B1" s="4" t="str">
        <x:v>Source File Manifest — Reproducibility and SHA-256</x:v>
      </x:c>
      <x:c r="C1" s="4" t="str">
        <x:v>Source File Manifest — Reproducibility and SHA-256</x:v>
      </x:c>
      <x:c r="D1" s="4" t="str">
        <x:v>Source File Manifest — Reproducibility and SHA-256</x:v>
      </x:c>
      <x:c r="E1" s="4" t="str">
        <x:v>Source File Manifest — Reproducibility and SHA-256</x:v>
      </x:c>
      <x:c r="F1" s="4" t="str">
        <x:v>Source File Manifest — Reproducibility and SHA-256</x:v>
      </x:c>
    </x:row>
    <x:row r="2" ht="34" customHeight="1">
      <x:c r="A2" s="23" t="str">
        <x:v>Category</x:v>
      </x:c>
      <x:c r="B2" s="24" t="str">
        <x:v>File</x:v>
      </x:c>
      <x:c r="C2" s="24" t="str">
        <x:v>Relative_Path</x:v>
      </x:c>
      <x:c r="D2" s="24" t="str">
        <x:v>Size_Bytes</x:v>
      </x:c>
      <x:c r="E2" s="24" t="str">
        <x:v>Modified</x:v>
      </x:c>
      <x:c r="F2" s="25" t="str">
        <x:v>SHA256</x:v>
      </x:c>
    </x:row>
    <x:row r="3">
      <x:c r="A3" s="29" t="str">
        <x:v>Built executable</x:v>
      </x:c>
      <x:c r="B3" s="29" t="str">
        <x:v>MQSim_gun_stripezone_swans.exe</x:v>
      </x:c>
      <x:c r="C3" s="29" t="str">
        <x:v>Source\gun_stripezone_swans\build_msvc\MQSim_gun_stripezone_swans.exe</x:v>
      </x:c>
      <x:c r="D3" s="57" t="n">
        <x:v>949248</x:v>
      </x:c>
      <x:c r="E3" s="71" t="n">
        <x:v>46262.35441194444</x:v>
      </x:c>
      <x:c r="F3" s="29" t="str">
        <x:v>7266D9B274D9FC6C02ED5A5F19A65B283E02D01755CF25EA6A546056DA017BDE</x:v>
      </x:c>
    </x:row>
    <x:row r="4">
      <x:c r="A4" s="30" t="str">
        <x:v>Code descriptor</x:v>
      </x:c>
      <x:c r="B4" s="30" t="str">
        <x:v>STRIPE_ZONE_VARIANT.md</x:v>
      </x:c>
      <x:c r="C4" s="30" t="str">
        <x:v>Source\gun_stripezone_swans\STRIPE_ZONE_VARIANT.md</x:v>
      </x:c>
      <x:c r="D4" s="38" t="n">
        <x:v>846</x:v>
      </x:c>
      <x:c r="E4" s="72" t="n">
        <x:v>46262.353677962965</x:v>
      </x:c>
      <x:c r="F4" s="30" t="str">
        <x:v>4DFF727B7674021F7B3BA8052AE57907089E105D3362C607933894A7CCC2AA38</x:v>
      </x:c>
    </x:row>
    <x:row r="5">
      <x:c r="A5" s="30" t="str">
        <x:v>Input XML</x:v>
      </x:c>
      <x:c r="B5" s="30" t="str">
        <x:v>01_baseline_16MiB_ssdconfig.xml</x:v>
      </x:c>
      <x:c r="C5" s="30" t="str">
        <x:v>input_xml\01_baseline_16MiB_ssdconfig.xml</x:v>
      </x:c>
      <x:c r="D5" s="38" t="n">
        <x:v>4413</x:v>
      </x:c>
      <x:c r="E5" s="72" t="n">
        <x:v>46261.73447178241</x:v>
      </x:c>
      <x:c r="F5" s="30" t="str">
        <x:v>BA4DDD673031A5B20FFD25B1805B2E33442E063426CB2804EF32EE92CED56C7B</x:v>
      </x:c>
    </x:row>
    <x:row r="6">
      <x:c r="A6" s="30" t="str">
        <x:v>Input XML</x:v>
      </x:c>
      <x:c r="B6" s="30" t="str">
        <x:v>02_stripezone_256KiB_ssdconfig.xml</x:v>
      </x:c>
      <x:c r="C6" s="30" t="str">
        <x:v>input_xml\02_stripezone_256KiB_ssdconfig.xml</x:v>
      </x:c>
      <x:c r="D6" s="38" t="n">
        <x:v>4411</x:v>
      </x:c>
      <x:c r="E6" s="72" t="n">
        <x:v>46262.35366518518</x:v>
      </x:c>
      <x:c r="F6" s="30" t="str">
        <x:v>6B3E4467AF37C5C471765CF0D6384983F2384D9BADF33EA89EE9746AB2F1EE5B</x:v>
      </x:c>
    </x:row>
    <x:row r="7">
      <x:c r="A7" s="30" t="str">
        <x:v>Input XML</x:v>
      </x:c>
      <x:c r="B7" s="30" t="str">
        <x:v>workload_prxy0_500k.xml</x:v>
      </x:c>
      <x:c r="C7" s="30" t="str">
        <x:v>input_xml\workload_prxy0_500k.xml</x:v>
      </x:c>
      <x:c r="D7" s="38" t="n">
        <x:v>697</x:v>
      </x:c>
      <x:c r="E7" s="72" t="n">
        <x:v>46261.7370096875</x:v>
      </x:c>
      <x:c r="F7" s="30" t="str">
        <x:v>94E81486743D415F1307F6352933DBD148C092C5E1F492C98315D7569237D307</x:v>
      </x:c>
    </x:row>
    <x:row r="8">
      <x:c r="A8" s="30" t="str">
        <x:v>Output XML</x:v>
      </x:c>
      <x:c r="B8" s="30" t="str">
        <x:v>01_baseline_16MiB_prxy0_500k.xml</x:v>
      </x:c>
      <x:c r="C8" s="30" t="str">
        <x:v>raw_xml\01_baseline_16MiB_prxy0_500k.xml</x:v>
      </x:c>
      <x:c r="D8" s="38" t="n">
        <x:v>553139</x:v>
      </x:c>
      <x:c r="E8" s="72" t="n">
        <x:v>46261.74338332176</x:v>
      </x:c>
      <x:c r="F8" s="30" t="str">
        <x:v>114AB49965A90BB1367500C31BFFF74EB6AC6D755F89C9D89A46A043005FB828</x:v>
      </x:c>
    </x:row>
    <x:row r="9">
      <x:c r="A9" s="30" t="str">
        <x:v>Output XML</x:v>
      </x:c>
      <x:c r="B9" s="30" t="str">
        <x:v>02_stripezone_256KiB_prxy0_500k.xml</x:v>
      </x:c>
      <x:c r="C9" s="30" t="str">
        <x:v>raw_xml\02_stripezone_256KiB_prxy0_500k.xml</x:v>
      </x:c>
      <x:c r="D9" s="38" t="n">
        <x:v>553130</x:v>
      </x:c>
      <x:c r="E9" s="72" t="n">
        <x:v>46262.354729976854</x:v>
      </x:c>
      <x:c r="F9" s="30" t="str">
        <x:v>439C2797A27EDA986F79D963230F88869D18D35A321DA8D06293CA7F59B0A4FC</x:v>
      </x:c>
    </x:row>
    <x:row r="10">
      <x:c r="A10" s="30" t="str">
        <x:v>Trace reference</x:v>
      </x:c>
      <x:c r="B10" s="30" t="str">
        <x:v>prxy0_500k_realtime.trace</x:v>
      </x:c>
      <x:c r="C10" s="30" t="str">
        <x:v>runs\gun_stripezone_swans_prxy0_500k\prxy0_500k_realtime.trace</x:v>
      </x:c>
      <x:c r="D10" s="38" t="n">
        <x:v>14301129</x:v>
      </x:c>
      <x:c r="E10" s="72" t="n">
        <x:v>46261.72067171297</x:v>
      </x:c>
      <x:c r="F10" s="30" t="str">
        <x:v>3B818444E5892647BDB0EDFAB221663C0E0ABB264A89C0442D54D0AC259B51BD</x:v>
      </x:c>
    </x:row>
    <x:row r="11">
      <x:c r="A11" s="31" t="str">
        <x:v>Trace reference</x:v>
      </x:c>
      <x:c r="B11" s="31" t="str">
        <x:v>prxy0_500k_realtime.trace</x:v>
      </x:c>
      <x:c r="C11" s="31" t="str">
        <x:v>runs\lab_swans_wam_nocache_op20_prxy0_500k\prxy0_500k_realtime.trace</x:v>
      </x:c>
      <x:c r="D11" s="39" t="n">
        <x:v>14301129</x:v>
      </x:c>
      <x:c r="E11" s="73" t="n">
        <x:v>46261.72067171297</x:v>
      </x:c>
      <x:c r="F11" s="31" t="str">
        <x:v>3B818444E5892647BDB0EDFAB221663C0E0ABB264A89C0442D54D0AC259B51BD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30" customHeight="1">
      <x:c r="A1" s="4" t="str">
        <x:v>README — Scope, method, and interpretation</x:v>
      </x:c>
      <x:c r="B1" s="4" t="str">
        <x:v>README — Scope, method, and interpretation</x:v>
      </x:c>
    </x:row>
    <x:row r="3" ht="34" customHeight="1">
      <x:c r="A3" s="23" t="str">
        <x:v>Item</x:v>
      </x:c>
      <x:c r="B3" s="25" t="str">
        <x:v>Description</x:v>
      </x:c>
    </x:row>
    <x:row r="4">
      <x:c r="A4" s="75" t="str">
        <x:v>Code</x:v>
      </x:c>
      <x:c r="B4" s="42" t="str">
        <x:v>Source\gun_stripezone_swans; C++ source is identical to gun_swans (160/160 hashes match). Only experiment configuration and executable naming differ.</x:v>
      </x:c>
    </x:row>
    <x:row r="5">
      <x:c r="A5" s="65" t="str">
        <x:v>Stripe definition</x:v>
      </x:c>
      <x:c r="B5" s="43" t="str">
        <x:v>The implementation validates SWANS zones against Stripe_Unit_LBA. Zone=Stripe therefore means 512 LBA = 256 KiB per stripe unit, not the four-SSD full stripe of 2,048 LBA.</x:v>
      </x:c>
    </x:row>
    <x:row r="6">
      <x:c r="A6" s="65" t="str">
        <x:v>Controlled comparison</x:v>
      </x:c>
      <x:c r="B6" s="43" t="str">
        <x:v>Both runs use the same 500,000-request MSRC prxy0 trace, SSD count 4, OP 20%, cache off, 40 s epochs, and SWANS thresholds 5/15.</x:v>
      </x:c>
    </x:row>
    <x:row r="7">
      <x:c r="A7" s="65" t="str">
        <x:v>Trace identity</x:v>
      </x:c>
      <x:c r="B7" s="43" t="str">
        <x:v>Both trace copies have SHA-256 3B818444E5892647BDB0EDFAB221663C0E0ABB264A89C0442D54D0AC259B51BD.</x:v>
      </x:c>
    </x:row>
    <x:row r="8">
      <x:c r="A8" s="65" t="str">
        <x:v>Changed inputs</x:v>
      </x:c>
      <x:c r="B8" s="43" t="str">
        <x:v>SWANS_Zone_Size_LBA changed 32,768 → 512 and Zone_Stripe_Multiplier changed 8 → 1. Other archived input values are unchanged.</x:v>
      </x:c>
    </x:row>
    <x:row r="9">
      <x:c r="A9" s="65" t="str">
        <x:v>Timing</x:v>
      </x:c>
      <x:c r="B9" s="43" t="str">
        <x:v>Results use the trace's original nanosecond timing. The stripe-zone simulation completed all requests successfully.</x:v>
      </x:c>
    </x:row>
    <x:row r="10">
      <x:c r="A10" s="65" t="str">
        <x:v>WAM unit</x:v>
      </x:c>
      <x:c r="B10" s="43" t="str">
        <x:v>WAM values are 512-byte sectors; cumulative WAM = host write sectors + migration restore write sectors.</x:v>
      </x:c>
    </x:row>
    <x:row r="11">
      <x:c r="A11" s="65" t="str">
        <x:v>Balance metric</x:v>
      </x:c>
      <x:c r="B11" s="43" t="str">
        <x:v>SWANS_Last_Mu is the implementation's final imbalance metric. Per-SSD host-WAM range is separately calculated from raw SSD sector counts.</x:v>
      </x:c>
    </x:row>
    <x:row r="12">
      <x:c r="A12" s="65" t="str">
        <x:v>Migration</x:v>
      </x:c>
      <x:c r="B12" s="43" t="str">
        <x:v>Neither real-time run crossed the migration path; migration operations and migration WAM are zero in both results.</x:v>
      </x:c>
    </x:row>
    <x:row r="13">
      <x:c r="A13" s="65" t="str">
        <x:v>Metadata caveat</x:v>
      </x:c>
      <x:c r="B13" s="43" t="str">
        <x:v>Smaller zones create more mapping entries. The workbook reports entry count, not measured host memory bytes or CPU overhead.</x:v>
      </x:c>
    </x:row>
    <x:row r="14">
      <x:c r="A14" s="65" t="str">
        <x:v>Lifetime caveat</x:v>
      </x:c>
      <x:c r="B14" s="43" t="str">
        <x:v>No bad blocks or flash erases occurred. Approximate flash WAF is a short-run programming proxy, not a physical lifetime estimate.</x:v>
      </x:c>
    </x:row>
    <x:row r="15">
      <x:c r="A15" s="66" t="str">
        <x:v>Raw preservation</x:v>
      </x:c>
      <x:c r="B15" s="44" t="str">
        <x:v>Output XML and input XML are stored under XML_result\gun_stripezone_swans, and every archived file is hashed in Source Files.</x:v>
      </x:c>
    </x:row>
  </x:sheetData>
  <x:mergeCells>
    <x:mergeCell ref="A1:B1"/>
  </x:mergeCells>
  <x:pageMargins left="0.7" right="0.7" top="0.75" bottom="0.75" header="0.3" footer="0.3"/>
</x:worksheet>
</file>