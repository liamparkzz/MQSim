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d80f4e324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8e96ef22ad487f"/>
    <x:sheet xmlns:r="http://schemas.openxmlformats.org/officeDocument/2006/relationships" name="Experiment Metrics" sheetId="2" r:id="R12b0c27ba9a94f49"/>
    <x:sheet xmlns:r="http://schemas.openxmlformats.org/officeDocument/2006/relationships" name="Parameters" sheetId="3" r:id="R0e237b4dbf054d84"/>
    <x:sheet xmlns:r="http://schemas.openxmlformats.org/officeDocument/2006/relationships" name="SSD WAM" sheetId="4" r:id="R1fef03cc7e3e48c0"/>
    <x:sheet xmlns:r="http://schemas.openxmlformats.org/officeDocument/2006/relationships" name="Migration History" sheetId="5" r:id="Rb43e80f68aec4091"/>
    <x:sheet xmlns:r="http://schemas.openxmlformats.org/officeDocument/2006/relationships" name="Source Files" sheetId="6" r:id="Rcf3aae24c5674e63"/>
    <x:sheet xmlns:r="http://schemas.openxmlformats.org/officeDocument/2006/relationships" name="README" sheetId="7" r:id="Rd6c0c372c6544f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#,##0"/>
    <x:numFmt numFmtId="202" formatCode="0.00%"/>
    <x:numFmt numFmtId="203" formatCode="#,##0.000"/>
    <x:numFmt numFmtId="204" formatCode="0.000000"/>
    <x:numFmt numFmtId="205" formatCode="0.00"/>
    <x:numFmt numFmtId="206" formatCode="0%"/>
    <x:numFmt numFmtId="207" formatCode="yyyy-mm-dd hh:mm:ss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F3F4F6"/>
      </x:patternFill>
    </x:fill>
    <x:fill>
      <x:patternFill patternType="solid">
        <x:fgColor rgb="FF0E7490"/>
      </x:patternFill>
    </x:fill>
    <x:fill>
      <x:patternFill patternType="solid">
        <x:fgColor rgb="FFCCFBF1"/>
      </x:patternFill>
    </x:fill>
  </x:fills>
  <x:borders count="7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4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203" fontId="2" fillId="0" borderId="6" xfId="0" applyNumberFormat="1" applyFont="1" applyFill="1" applyBorder="1" applyAlignment="1">
      <x:alignment vertical="center"/>
    </x:xf>
    <x:xf numFmtId="204" fontId="2" fillId="0" borderId="4" xfId="0" applyNumberFormat="1" applyFont="1" applyFill="1" applyBorder="1" applyAlignment="1">
      <x:alignment vertical="center"/>
    </x:xf>
    <x:xf numFmtId="204" fontId="2" fillId="0" borderId="5" xfId="0" applyNumberFormat="1" applyFont="1" applyFill="1" applyBorder="1" applyAlignment="1">
      <x:alignment vertical="center"/>
    </x:xf>
    <x:xf numFmtId="204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4" xfId="0" applyNumberFormat="1" applyFont="1" applyFill="1" applyBorder="1" applyAlignment="1">
      <x:alignment vertical="center"/>
    </x:xf>
    <x:xf numFmtId="205" fontId="2" fillId="0" borderId="5" xfId="0" applyNumberFormat="1" applyFont="1" applyFill="1" applyBorder="1" applyAlignment="1">
      <x:alignment vertical="center"/>
    </x:xf>
    <x:xf numFmtId="205" fontId="2" fillId="0" borderId="6" xfId="0" applyNumberFormat="1" applyFont="1" applyFill="1" applyBorder="1" applyAlignment="1">
      <x:alignment vertical="center"/>
    </x:xf>
    <x:xf numFmtId="206" fontId="2" fillId="0" borderId="4" xfId="0" applyNumberFormat="1" applyFont="1" applyFill="1" applyBorder="1" applyAlignment="1">
      <x:alignment vertical="center"/>
    </x:xf>
    <x:xf numFmtId="206" fontId="2" fillId="0" borderId="5" xfId="0" applyNumberFormat="1" applyFont="1" applyFill="1" applyBorder="1" applyAlignment="1">
      <x:alignment vertical="center"/>
    </x:xf>
    <x:xf numFmtId="206" fontId="2" fillId="0" borderId="6" xfId="0" applyNumberFormat="1" applyFont="1" applyFill="1" applyBorder="1" applyAlignment="1">
      <x:alignment vertical="center"/>
    </x:xf>
    <x:xf numFmtId="207" fontId="2" fillId="0" borderId="4" xfId="0" applyNumberFormat="1" applyFont="1" applyFill="1" applyBorder="1" applyAlignment="1">
      <x:alignment vertical="center"/>
    </x:xf>
    <x:xf numFmtId="207" fontId="2" fillId="0" borderId="5" xfId="0" applyNumberFormat="1" applyFont="1" applyFill="1" applyBorder="1" applyAlignment="1">
      <x:alignment vertical="center"/>
    </x:xf>
    <x:xf numFmtId="207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381242742a496e" /><Relationship Type="http://schemas.openxmlformats.org/officeDocument/2006/relationships/theme" Target="/xl/theme/theme1.xml" Id="R3dfe50790b814cca" /><Relationship Type="http://schemas.microsoft.com/office/2022/11/relationships/FeaturePropertyBag" Target="/xl/featurePropertyBag/featurePropertyBag.xml" Id="R912617d8ab6d4475" /><Relationship Type="http://schemas.openxmlformats.org/officeDocument/2006/relationships/sharedStrings" Target="/xl/sharedStrings.xml" Id="R9437b9832a1e4894" /><Relationship Type="http://schemas.openxmlformats.org/officeDocument/2006/relationships/worksheet" Target="/xl/worksheets/sheet1.xml" Id="R508e96ef22ad487f" /><Relationship Type="http://schemas.openxmlformats.org/officeDocument/2006/relationships/worksheet" Target="/xl/worksheets/sheet2.xml" Id="R12b0c27ba9a94f49" /><Relationship Type="http://schemas.openxmlformats.org/officeDocument/2006/relationships/worksheet" Target="/xl/worksheets/sheet3.xml" Id="R0e237b4dbf054d84" /><Relationship Type="http://schemas.openxmlformats.org/officeDocument/2006/relationships/worksheet" Target="/xl/worksheets/sheet4.xml" Id="R1fef03cc7e3e48c0" /><Relationship Type="http://schemas.openxmlformats.org/officeDocument/2006/relationships/worksheet" Target="/xl/worksheets/sheet5.xml" Id="Rb43e80f68aec4091" /><Relationship Type="http://schemas.openxmlformats.org/officeDocument/2006/relationships/worksheet" Target="/xl/worksheets/sheet6.xml" Id="Rcf3aae24c5674e63" /><Relationship Type="http://schemas.openxmlformats.org/officeDocument/2006/relationships/worksheet" Target="/xl/worksheets/sheet7.xml" Id="Rd6c0c372c6544f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8" hidden="0" customWidth="1"/>
  </x:cols>
  <x:sheetData>
    <x:row r="1" ht="30" customHeight="1">
      <x:c r="A1" s="4" t="str">
        <x:v>gun_swans — 16 MiB Zone Test Results</x:v>
      </x:c>
      <x:c r="B1" s="4" t="str">
        <x:v>gun_swans — 16 MiB Zone Test Results</x:v>
      </x:c>
      <x:c r="C1" s="4" t="str">
        <x:v>gun_swans — 16 MiB Zone Test Results</x:v>
      </x:c>
      <x:c r="D1" s="4" t="str">
        <x:v>gun_swans — 16 MiB Zone Test Results</x:v>
      </x:c>
      <x:c r="E1" s="4" t="str">
        <x:v>gun_swans — 16 MiB Zone Test Results</x:v>
      </x:c>
      <x:c r="F1" s="4" t="str">
        <x:v>gun_swans — 16 MiB Zone Test Results</x:v>
      </x:c>
      <x:c r="G1" s="4" t="str">
        <x:v>gun_swans — 16 MiB Zone Test Results</x:v>
      </x:c>
      <x:c r="H1" s="4" t="str">
        <x:v>gun_swans — 16 MiB Zone Test Results</x:v>
      </x:c>
      <x:c r="I1" s="4" t="str">
        <x:v>gun_swans — 16 MiB Zone Test Results</x:v>
      </x:c>
    </x:row>
    <x:row r="2">
      <x:c r="A2" s="7" t="str">
        <x:v>Research archive generated from the verified XML outputs on 2026-08-28</x:v>
      </x:c>
      <x:c r="B2" s="7" t="str">
        <x:v>Research archive generated from the verified XML outputs on 2026-08-28</x:v>
      </x:c>
      <x:c r="C2" s="7" t="str">
        <x:v>Research archive generated from the verified XML outputs on 2026-08-28</x:v>
      </x:c>
      <x:c r="D2" s="7" t="str">
        <x:v>Research archive generated from the verified XML outputs on 2026-08-28</x:v>
      </x:c>
      <x:c r="E2" s="7" t="str">
        <x:v>Research archive generated from the verified XML outputs on 2026-08-28</x:v>
      </x:c>
      <x:c r="F2" s="7" t="str">
        <x:v>Research archive generated from the verified XML outputs on 2026-08-28</x:v>
      </x:c>
      <x:c r="G2" s="7" t="str">
        <x:v>Research archive generated from the verified XML outputs on 2026-08-28</x:v>
      </x:c>
      <x:c r="H2" s="7" t="str">
        <x:v>Research archive generated from the verified XML outputs on 2026-08-28</x:v>
      </x:c>
      <x:c r="I2" s="7" t="str">
        <x:v>Research archive generated from the verified XML outputs on 2026-08-28</x:v>
      </x:c>
    </x:row>
    <x:row r="4">
      <x:c r="A4" s="9" t="str">
        <x:v>Code archive</x:v>
      </x:c>
      <x:c r="B4" s="11" t="str">
        <x:v>Source\gun_swans</x:v>
      </x:c>
    </x:row>
    <x:row r="5">
      <x:c r="A5" s="9" t="str">
        <x:v>Archive validation</x:v>
      </x:c>
      <x:c r="B5" s="11" t="str">
        <x:v>234 / 234 files; SHA-256 mismatch 0</x:v>
      </x:c>
    </x:row>
    <x:row r="6">
      <x:c r="A6" s="9" t="str">
        <x:v>SWANS zone</x:v>
      </x:c>
      <x:c r="B6" s="11" t="str">
        <x:v>32,768 LBA = 16 MiB</x:v>
      </x:c>
    </x:row>
    <x:row r="7">
      <x:c r="A7" s="9" t="str">
        <x:v>Output XML files</x:v>
      </x:c>
      <x:c r="B7" s="11" t="n">
        <x:v>5</x:v>
      </x:c>
    </x:row>
    <x:row r="8">
      <x:c r="A8" s="9" t="str">
        <x:v>Workbook date</x:v>
      </x:c>
      <x:c r="B8" s="12" t="n">
        <x:v>46262</x:v>
      </x:c>
    </x:row>
    <x:row r="10" ht="32" customHeight="1">
      <x:c r="A10" s="24" t="str">
        <x:v>Experiment</x:v>
      </x:c>
      <x:c r="B10" s="25" t="str">
        <x:v>Purpose</x:v>
      </x:c>
      <x:c r="C10" s="25" t="str">
        <x:v>Requests</x:v>
      </x:c>
      <x:c r="D10" s="25" t="str">
        <x:v>Avg response (us)</x:v>
      </x:c>
      <x:c r="E10" s="25" t="str">
        <x:v>Redirect</x:v>
      </x:c>
      <x:c r="F10" s="25" t="str">
        <x:v>Migration</x:v>
      </x:c>
      <x:c r="G10" s="25" t="str">
        <x:v>Migration overhead</x:v>
      </x:c>
      <x:c r="H10" s="25" t="str">
        <x:v>OP exhausted</x:v>
      </x:c>
      <x:c r="I10" s="26" t="str">
        <x:v>Interpretation</x:v>
      </x:c>
    </x:row>
    <x:row r="11">
      <x:c r="A11" s="30" t="str">
        <x:f>'Experiment Metrics'!B3</x:f>
        <x:v>MSRC prxy0 500k</x:v>
      </x:c>
      <x:c r="B11" s="30" t="str">
        <x:f>'Experiment Metrics'!C3</x:f>
        <x:v>Real-trace evaluation</x:v>
      </x:c>
      <x:c r="C11" s="33" t="n">
        <x:f>'Experiment Metrics'!E3</x:f>
        <x:v>500000</x:v>
      </x:c>
      <x:c r="D11" s="33" t="n">
        <x:f>'Experiment Metrics'!I3</x:f>
        <x:v>910</x:v>
      </x:c>
      <x:c r="E11" s="33" t="n">
        <x:f>'Experiment Metrics'!M3</x:f>
        <x:v>69</x:v>
      </x:c>
      <x:c r="F11" s="33" t="n">
        <x:f>'Experiment Metrics'!N3</x:f>
        <x:v>0</x:v>
      </x:c>
      <x:c r="G11" s="36" t="n">
        <x:f>'Experiment Metrics'!W3</x:f>
        <x:v>0</x:v>
      </x:c>
      <x:c r="H11" s="30" t="b">
        <x:f>'Experiment Metrics'!AE3</x:f>
        <x:v>0</x:v>
      </x:c>
      <x:c r="I11" s="39" t="str">
        <x:v>Paper thresholds 5/15, real timing; main comparable run</x:v>
      </x:c>
    </x:row>
    <x:row r="12">
      <x:c r="A12" s="31" t="str">
        <x:f>'Experiment Metrics'!B4</x:f>
        <x:v>Forced migration</x:v>
      </x:c>
      <x:c r="B12" s="31" t="str">
        <x:f>'Experiment Metrics'!C4</x:f>
        <x:v>Migration WAM path check</x:v>
      </x:c>
      <x:c r="C12" s="34" t="n">
        <x:f>'Experiment Metrics'!E4</x:f>
        <x:v>500000</x:v>
      </x:c>
      <x:c r="D12" s="34" t="n">
        <x:f>'Experiment Metrics'!I4</x:f>
        <x:v>910</x:v>
      </x:c>
      <x:c r="E12" s="34" t="n">
        <x:f>'Experiment Metrics'!M4</x:f>
        <x:v>2</x:v>
      </x:c>
      <x:c r="F12" s="34" t="n">
        <x:f>'Experiment Metrics'!N4</x:f>
        <x:v>4</x:v>
      </x:c>
      <x:c r="G12" s="37" t="n">
        <x:f>'Experiment Metrics'!W4</x:f>
        <x:v>0.018329336469964902</x:v>
      </x:c>
      <x:c r="H12" s="31" t="b">
        <x:f>'Experiment Metrics'!AE4</x:f>
        <x:v>0</x:v>
      </x:c>
      <x:c r="I12" s="40" t="str">
        <x:v>Critical threshold lowered to 5.5 for functional validation only</x:v>
      </x:c>
    </x:row>
    <x:row r="13">
      <x:c r="A13" s="31" t="str">
        <x:f>'Experiment Metrics'!B5</x:f>
        <x:v>Compressed overlap</x:v>
      </x:c>
      <x:c r="B13" s="31" t="str">
        <x:f>'Experiment Metrics'!C5</x:f>
        <x:v>Compressed-time overlap check</x:v>
      </x:c>
      <x:c r="C13" s="34" t="n">
        <x:f>'Experiment Metrics'!E5</x:f>
        <x:v>500000</x:v>
      </x:c>
      <x:c r="D13" s="34" t="n">
        <x:f>'Experiment Metrics'!I5</x:f>
        <x:v>1009</x:v>
      </x:c>
      <x:c r="E13" s="34" t="n">
        <x:f>'Experiment Metrics'!M5</x:f>
        <x:v>40</x:v>
      </x:c>
      <x:c r="F13" s="34" t="n">
        <x:f>'Experiment Metrics'!N5</x:f>
        <x:v>1</x:v>
      </x:c>
      <x:c r="G13" s="37" t="n">
        <x:f>'Experiment Metrics'!W5</x:f>
        <x:v>0.0018329336469964904</x:v>
      </x:c>
      <x:c r="H13" s="31" t="b">
        <x:f>'Experiment Metrics'!AE5</x:f>
        <x:v>0</x:v>
      </x:c>
      <x:c r="I13" s="40" t="str">
        <x:v>Compressed timestamps; not a performance benchmark</x:v>
      </x:c>
    </x:row>
    <x:row r="14">
      <x:c r="A14" s="31" t="str">
        <x:f>'Experiment Metrics'!B6</x:f>
        <x:v>Read/write wait</x:v>
      </x:c>
      <x:c r="B14" s="31" t="str">
        <x:f>'Experiment Metrics'!C6</x:f>
        <x:v>Migration synchronization check</x:v>
      </x:c>
      <x:c r="C14" s="34" t="n">
        <x:f>'Experiment Metrics'!E6</x:f>
        <x:v>1633</x:v>
      </x:c>
      <x:c r="D14" s="34" t="n">
        <x:f>'Experiment Metrics'!I6</x:f>
        <x:v>1432</x:v>
      </x:c>
      <x:c r="E14" s="34" t="n">
        <x:f>'Experiment Metrics'!M6</x:f>
        <x:v>0</x:v>
      </x:c>
      <x:c r="F14" s="34" t="n">
        <x:f>'Experiment Metrics'!N6</x:f>
        <x:v>4</x:v>
      </x:c>
      <x:c r="G14" s="37" t="n">
        <x:f>'Experiment Metrics'!W6</x:f>
        <x:v>6.091941590048675</x:v>
      </x:c>
      <x:c r="H14" s="31" t="b">
        <x:f>'Experiment Metrics'!AE6</x:f>
        <x:v>0</x:v>
      </x:c>
      <x:c r="I14" s="40" t="str">
        <x:v>Injected alternating reads/writes immediately after migration start</x:v>
      </x:c>
    </x:row>
    <x:row r="15">
      <x:c r="A15" s="32" t="str">
        <x:f>'Experiment Metrics'!B7</x:f>
        <x:v>Endurance OP stop</x:v>
      </x:c>
      <x:c r="B15" s="32" t="str">
        <x:f>'Experiment Metrics'!C7</x:f>
        <x:v>Bad-block and OP-stop check</x:v>
      </x:c>
      <x:c r="C15" s="35" t="n">
        <x:f>'Experiment Metrics'!E7</x:f>
        <x:v>641</x:v>
      </x:c>
      <x:c r="D15" s="35" t="n">
        <x:f>'Experiment Metrics'!I7</x:f>
        <x:v>12713</x:v>
      </x:c>
      <x:c r="E15" s="35" t="n">
        <x:f>'Experiment Metrics'!M7</x:f>
        <x:v>0</x:v>
      </x:c>
      <x:c r="F15" s="35" t="n">
        <x:f>'Experiment Metrics'!N7</x:f>
        <x:v>0</x:v>
      </x:c>
      <x:c r="G15" s="38" t="n">
        <x:f>'Experiment Metrics'!W7</x:f>
        <x:v>0</x:v>
      </x:c>
      <x:c r="H15" s="32" t="b">
        <x:f>'Experiment Metrics'!AE7</x:f>
        <x:v>1</x:v>
      </x:c>
      <x:c r="I15" s="41" t="str">
        <x:v>P/E limit 1 stress test; not a physical lifetime estimate</x:v>
      </x:c>
    </x:row>
    <x:row r="17">
      <x:c r="A17" s="43" t="str">
        <x:v>Key findings</x:v>
      </x:c>
      <x:c r="B17" s="43" t="str">
        <x:v>Key findings</x:v>
      </x:c>
      <x:c r="C17" s="43" t="str">
        <x:v>Key findings</x:v>
      </x:c>
      <x:c r="D17" s="43" t="str">
        <x:v>Key findings</x:v>
      </x:c>
      <x:c r="E17" s="43" t="str">
        <x:v>Key findings</x:v>
      </x:c>
      <x:c r="F17" s="43" t="str">
        <x:v>Key findings</x:v>
      </x:c>
      <x:c r="G17" s="43" t="str">
        <x:v>Key findings</x:v>
      </x:c>
      <x:c r="H17" s="43" t="str">
        <x:v>Key findings</x:v>
      </x:c>
      <x:c r="I17" s="43" t="str">
        <x:v>Key findings</x:v>
      </x:c>
    </x:row>
    <x:row r="18">
      <x:c r="A18" s="45" t="str">
        <x:v>• Main MSRC run: 500,000 requests, 910 us average response, 69 redirects, no migration at critical threshold 15.</x:v>
      </x:c>
      <x:c r="B18" s="45"/>
      <x:c r="C18" s="45"/>
      <x:c r="D18" s="45"/>
      <x:c r="E18" s="45"/>
      <x:c r="F18" s="45"/>
      <x:c r="G18" s="45"/>
      <x:c r="H18" s="45"/>
      <x:c r="I18" s="45"/>
    </x:row>
    <x:row r="19">
      <x:c r="A19" s="45" t="str">
        <x:v>• Forced migration check: 40,960 migration-write sectors were added to cumulative WAM exactly.</x:v>
      </x:c>
      <x:c r="B19" s="45"/>
      <x:c r="C19" s="45"/>
      <x:c r="D19" s="45"/>
      <x:c r="E19" s="45"/>
      <x:c r="F19" s="45"/>
      <x:c r="G19" s="45"/>
      <x:c r="H19" s="45"/>
      <x:c r="I19" s="45"/>
    </x:row>
    <x:row r="20">
      <x:c r="A20" s="45" t="str">
        <x:v>• Read/write wait check: 32 reads and 32 writes waited; 64 requests replayed; early write completion remained zero.</x:v>
      </x:c>
      <x:c r="B20" s="45"/>
      <x:c r="C20" s="45"/>
      <x:c r="D20" s="45"/>
      <x:c r="E20" s="45"/>
      <x:c r="F20" s="45"/>
      <x:c r="G20" s="45"/>
      <x:c r="H20" s="45"/>
      <x:c r="I20" s="45"/>
    </x:row>
    <x:row r="21">
      <x:c r="A21" s="45" t="str">
        <x:v>• Endurance check: 43 bad blocks + 9 pending retirements consumed the 52-block OP reserve and stopped simulation.</x:v>
      </x:c>
      <x:c r="B21" s="45"/>
      <x:c r="C21" s="45"/>
      <x:c r="D21" s="45"/>
      <x:c r="E21" s="45"/>
      <x:c r="F21" s="45"/>
      <x:c r="G21" s="45"/>
      <x:c r="H21" s="45"/>
      <x:c r="I21" s="45"/>
    </x:row>
    <x:row r="22">
      <x:c r="A22" s="45" t="str">
        <x:v>• EXP-02 through EXP-05 are functional checks and must not be used as performance benchmarks.</x:v>
      </x:c>
      <x:c r="B22" s="45"/>
      <x:c r="C22" s="45"/>
      <x:c r="D22" s="45"/>
      <x:c r="E22" s="45"/>
      <x:c r="F22" s="45"/>
      <x:c r="G22" s="45"/>
      <x:c r="H22" s="45"/>
      <x:c r="I22" s="45"/>
    </x:row>
  </x:sheetData>
  <x:mergeCells>
    <x:mergeCell ref="A1:I1"/>
    <x:mergeCell ref="A2:I2"/>
    <x:mergeCell ref="A17:I17"/>
    <x:mergeCell ref="A18:I18"/>
    <x:mergeCell ref="A19:I19"/>
    <x:mergeCell ref="A20:I20"/>
    <x:mergeCell ref="A21:I21"/>
    <x:mergeCell ref="A22:I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3" max="3" width="20" hidden="0" customWidth="1"/>
    <x:col min="4" max="4" width="20" hidden="0" customWidth="1"/>
    <x:col min="33" max="33" width="20" hidden="0" customWidth="1"/>
    <x:col min="2" max="2" width="2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4" max="34" width="48" hidden="0" customWidth="1"/>
  </x:cols>
  <x:sheetData>
    <x:row r="1" ht="30" customHeight="1">
      <x:c r="A1" s="4" t="str">
        <x:v>Experiment Metrics — Extracted from output XML</x:v>
      </x:c>
      <x:c r="B1" s="4" t="str">
        <x:v>Experiment Metrics — Extracted from output XML</x:v>
      </x:c>
      <x:c r="C1" s="4" t="str">
        <x:v>Experiment Metrics — Extracted from output XML</x:v>
      </x:c>
      <x:c r="D1" s="4" t="str">
        <x:v>Experiment Metrics — Extracted from output XML</x:v>
      </x:c>
      <x:c r="E1" s="4" t="str">
        <x:v>Experiment Metrics — Extracted from output XML</x:v>
      </x:c>
      <x:c r="F1" s="4" t="str">
        <x:v>Experiment Metrics — Extracted from output XML</x:v>
      </x:c>
      <x:c r="G1" s="4" t="str">
        <x:v>Experiment Metrics — Extracted from output XML</x:v>
      </x:c>
      <x:c r="H1" s="4" t="str">
        <x:v>Experiment Metrics — Extracted from output XML</x:v>
      </x:c>
      <x:c r="I1" s="4" t="str">
        <x:v>Experiment Metrics — Extracted from output XML</x:v>
      </x:c>
      <x:c r="J1" s="4" t="str">
        <x:v>Experiment Metrics — Extracted from output XML</x:v>
      </x:c>
      <x:c r="K1" s="4" t="str">
        <x:v>Experiment Metrics — Extracted from output XML</x:v>
      </x:c>
      <x:c r="L1" s="4" t="str">
        <x:v>Experiment Metrics — Extracted from output XML</x:v>
      </x:c>
      <x:c r="M1" s="4" t="str">
        <x:v>Experiment Metrics — Extracted from output XML</x:v>
      </x:c>
      <x:c r="N1" s="4" t="str">
        <x:v>Experiment Metrics — Extracted from output XML</x:v>
      </x:c>
      <x:c r="O1" s="4" t="str">
        <x:v>Experiment Metrics — Extracted from output XML</x:v>
      </x:c>
      <x:c r="P1" s="4" t="str">
        <x:v>Experiment Metrics — Extracted from output XML</x:v>
      </x:c>
      <x:c r="Q1" s="4" t="str">
        <x:v>Experiment Metrics — Extracted from output XML</x:v>
      </x:c>
      <x:c r="R1" s="4" t="str">
        <x:v>Experiment Metrics — Extracted from output XML</x:v>
      </x:c>
      <x:c r="S1" s="4" t="str">
        <x:v>Experiment Metrics — Extracted from output XML</x:v>
      </x:c>
      <x:c r="T1" s="4" t="str">
        <x:v>Experiment Metrics — Extracted from output XML</x:v>
      </x:c>
      <x:c r="U1" s="4" t="str">
        <x:v>Experiment Metrics — Extracted from output XML</x:v>
      </x:c>
      <x:c r="V1" s="4" t="str">
        <x:v>Experiment Metrics — Extracted from output XML</x:v>
      </x:c>
      <x:c r="W1" s="4" t="str">
        <x:v>Experiment Metrics — Extracted from output XML</x:v>
      </x:c>
      <x:c r="X1" s="4" t="str">
        <x:v>Experiment Metrics — Extracted from output XML</x:v>
      </x:c>
      <x:c r="Y1" s="4" t="str">
        <x:v>Experiment Metrics — Extracted from output XML</x:v>
      </x:c>
      <x:c r="Z1" s="4" t="str">
        <x:v>Experiment Metrics — Extracted from output XML</x:v>
      </x:c>
      <x:c r="AA1" s="4" t="str">
        <x:v>Experiment Metrics — Extracted from output XML</x:v>
      </x:c>
      <x:c r="AB1" s="4" t="str">
        <x:v>Experiment Metrics — Extracted from output XML</x:v>
      </x:c>
      <x:c r="AC1" s="4" t="str">
        <x:v>Experiment Metrics — Extracted from output XML</x:v>
      </x:c>
      <x:c r="AD1" s="4" t="str">
        <x:v>Experiment Metrics — Extracted from output XML</x:v>
      </x:c>
      <x:c r="AE1" s="4" t="str">
        <x:v>Experiment Metrics — Extracted from output XML</x:v>
      </x:c>
      <x:c r="AF1" s="4" t="str">
        <x:v>Experiment Metrics — Extracted from output XML</x:v>
      </x:c>
      <x:c r="AG1" s="4" t="str">
        <x:v>Experiment Metrics — Extracted from output XML</x:v>
      </x:c>
      <x:c r="AH1" s="4" t="str">
        <x:v>Experiment Metrics — Extracted from output XML</x:v>
      </x:c>
    </x:row>
    <x:row r="2" ht="32" customHeight="1">
      <x:c r="A2" s="24" t="str">
        <x:v>Experiment_ID</x:v>
      </x:c>
      <x:c r="B2" s="25" t="str">
        <x:v>Experiment</x:v>
      </x:c>
      <x:c r="C2" s="25" t="str">
        <x:v>Purpose</x:v>
      </x:c>
      <x:c r="D2" s="25" t="str">
        <x:v>Workload</x:v>
      </x:c>
      <x:c r="E2" s="25" t="str">
        <x:v>Requests</x:v>
      </x:c>
      <x:c r="F2" s="25" t="str">
        <x:v>Read</x:v>
      </x:c>
      <x:c r="G2" s="25" t="str">
        <x:v>Write</x:v>
      </x:c>
      <x:c r="H2" s="25" t="str">
        <x:v>IOPS</x:v>
      </x:c>
      <x:c r="I2" s="25" t="str">
        <x:v>Avg_Response_us</x:v>
      </x:c>
      <x:c r="J2" s="25" t="str">
        <x:v>Min_Response_us</x:v>
      </x:c>
      <x:c r="K2" s="25" t="str">
        <x:v>Max_Response_us</x:v>
      </x:c>
      <x:c r="L2" s="25" t="str">
        <x:v>Last_Mu_pp</x:v>
      </x:c>
      <x:c r="M2" s="25" t="str">
        <x:v>Redirect_Ops</x:v>
      </x:c>
      <x:c r="N2" s="25" t="str">
        <x:v>Migration_Ops</x:v>
      </x:c>
      <x:c r="O2" s="25" t="str">
        <x:v>Buffered_Requests</x:v>
      </x:c>
      <x:c r="P2" s="25" t="str">
        <x:v>Buffered_Writes</x:v>
      </x:c>
      <x:c r="Q2" s="25" t="str">
        <x:v>Buffered_Reads</x:v>
      </x:c>
      <x:c r="R2" s="25" t="str">
        <x:v>Replay_Requests</x:v>
      </x:c>
      <x:c r="S2" s="25" t="str">
        <x:v>Early_Completed_Writes</x:v>
      </x:c>
      <x:c r="T2" s="25" t="str">
        <x:v>Host_WAM_Sectors</x:v>
      </x:c>
      <x:c r="U2" s="25" t="str">
        <x:v>Migration_WAM_Sectors</x:v>
      </x:c>
      <x:c r="V2" s="25" t="str">
        <x:v>Cumulative_WAM_Sectors</x:v>
      </x:c>
      <x:c r="W2" s="25" t="str">
        <x:v>Migration_Overhead_pct</x:v>
      </x:c>
      <x:c r="X2" s="25" t="str">
        <x:v>WAM_Check_Sectors</x:v>
      </x:c>
      <x:c r="Y2" s="25" t="str">
        <x:v>Flash_Page_Programs</x:v>
      </x:c>
      <x:c r="Z2" s="25" t="str">
        <x:v>Approx_Flash_WAF</x:v>
      </x:c>
      <x:c r="AA2" s="25" t="str">
        <x:v>Bad_Blocks</x:v>
      </x:c>
      <x:c r="AB2" s="25" t="str">
        <x:v>Pending_Retirements</x:v>
      </x:c>
      <x:c r="AC2" s="25" t="str">
        <x:v>OP_Consumed_Blocks</x:v>
      </x:c>
      <x:c r="AD2" s="25" t="str">
        <x:v>OP_Limit_Blocks</x:v>
      </x:c>
      <x:c r="AE2" s="25" t="str">
        <x:v>OP_Exhausted</x:v>
      </x:c>
      <x:c r="AF2" s="25" t="str">
        <x:v>OP_Exhaustion_Time_ns</x:v>
      </x:c>
      <x:c r="AG2" s="25" t="str">
        <x:v>Output_XML</x:v>
      </x:c>
      <x:c r="AH2" s="26" t="str">
        <x:v>Notes</x:v>
      </x:c>
    </x:row>
    <x:row r="3">
      <x:c r="A3" s="30" t="str">
        <x:v>EXP-01</x:v>
      </x:c>
      <x:c r="B3" s="30" t="str">
        <x:v>MSRC prxy0 500k</x:v>
      </x:c>
      <x:c r="C3" s="30" t="str">
        <x:v>Real-trace evaluation</x:v>
      </x:c>
      <x:c r="D3" s="30" t="str">
        <x:v>SSDDevice_3.HostInterface</x:v>
      </x:c>
      <x:c r="E3" s="54" t="n">
        <x:v>500000</x:v>
      </x:c>
      <x:c r="F3" s="54" t="n">
        <x:v>33330</x:v>
      </x:c>
      <x:c r="G3" s="54" t="n">
        <x:v>466670</x:v>
      </x:c>
      <x:c r="H3" s="54" t="n">
        <x:v>21.815009</x:v>
      </x:c>
      <x:c r="I3" s="54" t="n">
        <x:v>910</x:v>
      </x:c>
      <x:c r="J3" s="54" t="n">
        <x:v>77</x:v>
      </x:c>
      <x:c r="K3" s="54" t="n">
        <x:v>10089</x:v>
      </x:c>
      <x:c r="L3" s="57" t="n">
        <x:v>5.8139</x:v>
      </x:c>
      <x:c r="M3" s="33" t="n">
        <x:v>69</x:v>
      </x:c>
      <x:c r="N3" s="33" t="n">
        <x:v>0</x:v>
      </x:c>
      <x:c r="O3" s="33" t="n">
        <x:v>0</x:v>
      </x:c>
      <x:c r="P3" s="33" t="n">
        <x:v>0</x:v>
      </x:c>
      <x:c r="Q3" s="33" t="n">
        <x:f>O3-P3</x:f>
        <x:v>0</x:v>
      </x:c>
      <x:c r="R3" s="33" t="n">
        <x:v>0</x:v>
      </x:c>
      <x:c r="S3" s="33" t="n">
        <x:v>0</x:v>
      </x:c>
      <x:c r="T3" s="33" t="n">
        <x:v>2234669</x:v>
      </x:c>
      <x:c r="U3" s="33" t="n">
        <x:v>0</x:v>
      </x:c>
      <x:c r="V3" s="33" t="n">
        <x:v>2234669</x:v>
      </x:c>
      <x:c r="W3" s="36" t="n">
        <x:f>IF(T3=0,0,U3/T3)</x:f>
        <x:v>0</x:v>
      </x:c>
      <x:c r="X3" s="33" t="n">
        <x:f>V3-T3-U3</x:f>
        <x:v>0</x:v>
      </x:c>
      <x:c r="Y3" s="33" t="n">
        <x:v>527755</x:v>
      </x:c>
      <x:c r="Z3" s="57" t="n">
        <x:v>3.778671</x:v>
      </x:c>
      <x:c r="AA3" s="33" t="n">
        <x:v>0</x:v>
      </x:c>
      <x:c r="AB3" s="33" t="n">
        <x:v>0</x:v>
      </x:c>
      <x:c r="AC3" s="33" t="n">
        <x:v>0</x:v>
      </x:c>
      <x:c r="AD3" s="33" t="n">
        <x:v>26216</x:v>
      </x:c>
      <x:c r="AE3" s="60" t="b">
        <x:v>0</x:v>
      </x:c>
      <x:c r="AF3" s="33" t="n">
        <x:v>0</x:v>
      </x:c>
      <x:c r="AG3" s="30" t="str">
        <x:v>raw_xml\01_msrc_prxy0_500k_paper16_op20_nocache.xml</x:v>
      </x:c>
      <x:c r="AH3" s="39" t="str">
        <x:v>Paper thresholds 5/15, real timing; main comparable run</x:v>
      </x:c>
    </x:row>
    <x:row r="4">
      <x:c r="A4" s="31" t="str">
        <x:v>EXP-02</x:v>
      </x:c>
      <x:c r="B4" s="31" t="str">
        <x:v>Forced migration</x:v>
      </x:c>
      <x:c r="C4" s="31" t="str">
        <x:v>Migration WAM path check</x:v>
      </x:c>
      <x:c r="D4" s="31" t="str">
        <x:v>SSDDevice_3.HostInterface</x:v>
      </x:c>
      <x:c r="E4" s="55" t="n">
        <x:v>500000</x:v>
      </x:c>
      <x:c r="F4" s="55" t="n">
        <x:v>33330</x:v>
      </x:c>
      <x:c r="G4" s="55" t="n">
        <x:v>466670</x:v>
      </x:c>
      <x:c r="H4" s="55" t="n">
        <x:v>21.815009</x:v>
      </x:c>
      <x:c r="I4" s="55" t="n">
        <x:v>910</x:v>
      </x:c>
      <x:c r="J4" s="55" t="n">
        <x:v>77</x:v>
      </x:c>
      <x:c r="K4" s="55" t="n">
        <x:v>10089</x:v>
      </x:c>
      <x:c r="L4" s="58" t="n">
        <x:v>3.741271</x:v>
      </x:c>
      <x:c r="M4" s="34" t="n">
        <x:v>2</x:v>
      </x:c>
      <x:c r="N4" s="34" t="n">
        <x:v>4</x:v>
      </x:c>
      <x:c r="O4" s="34" t="n">
        <x:v>0</x:v>
      </x:c>
      <x:c r="P4" s="34" t="n">
        <x:v>0</x:v>
      </x:c>
      <x:c r="Q4" s="34" t="n">
        <x:f>O4-P4</x:f>
        <x:v>0</x:v>
      </x:c>
      <x:c r="R4" s="34" t="n">
        <x:v>0</x:v>
      </x:c>
      <x:c r="S4" s="34" t="n">
        <x:v>0</x:v>
      </x:c>
      <x:c r="T4" s="34" t="n">
        <x:v>2234669</x:v>
      </x:c>
      <x:c r="U4" s="34" t="n">
        <x:v>40960</x:v>
      </x:c>
      <x:c r="V4" s="34" t="n">
        <x:v>2275629</x:v>
      </x:c>
      <x:c r="W4" s="37" t="n">
        <x:f>IF(T4=0,0,U4/T4)</x:f>
        <x:v>0.018329336469964902</x:v>
      </x:c>
      <x:c r="X4" s="34" t="n">
        <x:f>V4-T4-U4</x:f>
        <x:v>0</x:v>
      </x:c>
      <x:c r="Y4" s="34" t="n">
        <x:v>530315</x:v>
      </x:c>
      <x:c r="Z4" s="58" t="n">
        <x:v>3.797001</x:v>
      </x:c>
      <x:c r="AA4" s="34" t="n">
        <x:v>0</x:v>
      </x:c>
      <x:c r="AB4" s="34" t="n">
        <x:v>0</x:v>
      </x:c>
      <x:c r="AC4" s="34" t="n">
        <x:v>0</x:v>
      </x:c>
      <x:c r="AD4" s="34" t="n">
        <x:v>26216</x:v>
      </x:c>
      <x:c r="AE4" s="61" t="b">
        <x:v>0</x:v>
      </x:c>
      <x:c r="AF4" s="34" t="n">
        <x:v>0</x:v>
      </x:c>
      <x:c r="AG4" s="31" t="str">
        <x:v>raw_xml\02_migration_forced_check.xml</x:v>
      </x:c>
      <x:c r="AH4" s="40" t="str">
        <x:v>Critical threshold lowered to 5.5 for functional validation only</x:v>
      </x:c>
    </x:row>
    <x:row r="5">
      <x:c r="A5" s="31" t="str">
        <x:v>EXP-03</x:v>
      </x:c>
      <x:c r="B5" s="31" t="str">
        <x:v>Compressed overlap</x:v>
      </x:c>
      <x:c r="C5" s="31" t="str">
        <x:v>Compressed-time overlap check</x:v>
      </x:c>
      <x:c r="D5" s="31" t="str">
        <x:v>SSDDevice_3.HostInterface</x:v>
      </x:c>
      <x:c r="E5" s="55" t="n">
        <x:v>500000</x:v>
      </x:c>
      <x:c r="F5" s="55" t="n">
        <x:v>33330</x:v>
      </x:c>
      <x:c r="G5" s="55" t="n">
        <x:v>466670</x:v>
      </x:c>
      <x:c r="H5" s="55" t="n">
        <x:v>347.222222</x:v>
      </x:c>
      <x:c r="I5" s="55" t="n">
        <x:v>1009</x:v>
      </x:c>
      <x:c r="J5" s="55" t="n">
        <x:v>77</x:v>
      </x:c>
      <x:c r="K5" s="55" t="n">
        <x:v>38598</x:v>
      </x:c>
      <x:c r="L5" s="58" t="n">
        <x:v>3.973139</x:v>
      </x:c>
      <x:c r="M5" s="34" t="n">
        <x:v>40</x:v>
      </x:c>
      <x:c r="N5" s="34" t="n">
        <x:v>1</x:v>
      </x:c>
      <x:c r="O5" s="34" t="n">
        <x:v>0</x:v>
      </x:c>
      <x:c r="P5" s="34" t="n">
        <x:v>0</x:v>
      </x:c>
      <x:c r="Q5" s="34" t="n">
        <x:f>O5-P5</x:f>
        <x:v>0</x:v>
      </x:c>
      <x:c r="R5" s="34" t="n">
        <x:v>0</x:v>
      </x:c>
      <x:c r="S5" s="34" t="n">
        <x:v>0</x:v>
      </x:c>
      <x:c r="T5" s="34" t="n">
        <x:v>2234669</x:v>
      </x:c>
      <x:c r="U5" s="34" t="n">
        <x:v>4096</x:v>
      </x:c>
      <x:c r="V5" s="34" t="n">
        <x:v>2238765</x:v>
      </x:c>
      <x:c r="W5" s="37" t="n">
        <x:f>IF(T5=0,0,U5/T5)</x:f>
        <x:v>0.0018329336469964904</x:v>
      </x:c>
      <x:c r="X5" s="34" t="n">
        <x:f>V5-T5-U5</x:f>
        <x:v>0</x:v>
      </x:c>
      <x:c r="Y5" s="34" t="n">
        <x:v>528011</x:v>
      </x:c>
      <x:c r="Z5" s="58" t="n">
        <x:v>3.780504</x:v>
      </x:c>
      <x:c r="AA5" s="34" t="n">
        <x:v>0</x:v>
      </x:c>
      <x:c r="AB5" s="34"/>
      <x:c r="AC5" s="34"/>
      <x:c r="AD5" s="34" t="n">
        <x:v>26216</x:v>
      </x:c>
      <x:c r="AE5" s="61" t="b">
        <x:v>0</x:v>
      </x:c>
      <x:c r="AF5" s="34" t="n">
        <x:v>0</x:v>
      </x:c>
      <x:c r="AG5" s="31" t="str">
        <x:v>raw_xml\03_migration_overlap_compressed.xml</x:v>
      </x:c>
      <x:c r="AH5" s="40" t="str">
        <x:v>Compressed timestamps; not a performance benchmark</x:v>
      </x:c>
    </x:row>
    <x:row r="6">
      <x:c r="A6" s="31" t="str">
        <x:v>EXP-04</x:v>
      </x:c>
      <x:c r="B6" s="31" t="str">
        <x:v>Read/write wait</x:v>
      </x:c>
      <x:c r="C6" s="31" t="str">
        <x:v>Migration synchronization check</x:v>
      </x:c>
      <x:c r="D6" s="31" t="str">
        <x:v>SSDDevice_3.HostInterface</x:v>
      </x:c>
      <x:c r="E6" s="55" t="n">
        <x:v>1633</x:v>
      </x:c>
      <x:c r="F6" s="55" t="n">
        <x:v>423</x:v>
      </x:c>
      <x:c r="G6" s="55" t="n">
        <x:v>1210</x:v>
      </x:c>
      <x:c r="H6" s="55" t="n">
        <x:v>8.165</x:v>
      </x:c>
      <x:c r="I6" s="55" t="n">
        <x:v>1432</x:v>
      </x:c>
      <x:c r="J6" s="55" t="n">
        <x:v>77</x:v>
      </x:c>
      <x:c r="K6" s="55" t="n">
        <x:v>16555</x:v>
      </x:c>
      <x:c r="L6" s="58" t="n">
        <x:v>3.624636</x:v>
      </x:c>
      <x:c r="M6" s="34" t="n">
        <x:v>0</x:v>
      </x:c>
      <x:c r="N6" s="34" t="n">
        <x:v>4</x:v>
      </x:c>
      <x:c r="O6" s="34" t="n">
        <x:v>64</x:v>
      </x:c>
      <x:c r="P6" s="34" t="n">
        <x:v>32</x:v>
      </x:c>
      <x:c r="Q6" s="34" t="n">
        <x:f>O6-P6</x:f>
        <x:v>32</x:v>
      </x:c>
      <x:c r="R6" s="34" t="n">
        <x:v>64</x:v>
      </x:c>
      <x:c r="S6" s="34" t="n">
        <x:v>0</x:v>
      </x:c>
      <x:c r="T6" s="34" t="n">
        <x:v>7396</x:v>
      </x:c>
      <x:c r="U6" s="34" t="n">
        <x:v>45056</x:v>
      </x:c>
      <x:c r="V6" s="34" t="n">
        <x:v>52452</x:v>
      </x:c>
      <x:c r="W6" s="37" t="n">
        <x:f>IF(T6=0,0,U6/T6)</x:f>
        <x:v>6.091941590048675</x:v>
      </x:c>
      <x:c r="X6" s="34" t="n">
        <x:f>V6-T6-U6</x:f>
        <x:v>0</x:v>
      </x:c>
      <x:c r="Y6" s="34" t="n">
        <x:v>4219</x:v>
      </x:c>
      <x:c r="Z6" s="58" t="n">
        <x:v>9.127096</x:v>
      </x:c>
      <x:c r="AA6" s="34" t="n">
        <x:v>0</x:v>
      </x:c>
      <x:c r="AB6" s="34" t="n">
        <x:v>0</x:v>
      </x:c>
      <x:c r="AC6" s="34" t="n">
        <x:v>0</x:v>
      </x:c>
      <x:c r="AD6" s="34" t="n">
        <x:v>26216</x:v>
      </x:c>
      <x:c r="AE6" s="61" t="b">
        <x:v>0</x:v>
      </x:c>
      <x:c r="AF6" s="34" t="n">
        <x:v>0</x:v>
      </x:c>
      <x:c r="AG6" s="31" t="str">
        <x:v>raw_xml\04_migration_rw_wait_check.xml</x:v>
      </x:c>
      <x:c r="AH6" s="40" t="str">
        <x:v>Injected alternating reads/writes immediately after migration start</x:v>
      </x:c>
    </x:row>
    <x:row r="7">
      <x:c r="A7" s="32" t="str">
        <x:v>EXP-05</x:v>
      </x:c>
      <x:c r="B7" s="32" t="str">
        <x:v>Endurance OP stop</x:v>
      </x:c>
      <x:c r="C7" s="32" t="str">
        <x:v>Bad-block and OP-stop check</x:v>
      </x:c>
      <x:c r="D7" s="32" t="str">
        <x:v>SSDDevice_0.HostInterface</x:v>
      </x:c>
      <x:c r="E7" s="56" t="n">
        <x:v>641</x:v>
      </x:c>
      <x:c r="F7" s="56" t="n">
        <x:v>0</x:v>
      </x:c>
      <x:c r="G7" s="56" t="n">
        <x:v>641</x:v>
      </x:c>
      <x:c r="H7" s="56" t="n">
        <x:v>496.647045</x:v>
      </x:c>
      <x:c r="I7" s="56" t="n">
        <x:v>12713</x:v>
      </x:c>
      <x:c r="J7" s="56" t="n">
        <x:v>764</x:v>
      </x:c>
      <x:c r="K7" s="56" t="n">
        <x:v>39209</x:v>
      </x:c>
      <x:c r="L7" s="59" t="n">
        <x:v>0</x:v>
      </x:c>
      <x:c r="M7" s="35" t="n">
        <x:v>0</x:v>
      </x:c>
      <x:c r="N7" s="35" t="n">
        <x:v>0</x:v>
      </x:c>
      <x:c r="O7" s="35" t="n">
        <x:v>0</x:v>
      </x:c>
      <x:c r="P7" s="35" t="n">
        <x:v>0</x:v>
      </x:c>
      <x:c r="Q7" s="35" t="n">
        <x:f>O7-P7</x:f>
        <x:v>0</x:v>
      </x:c>
      <x:c r="R7" s="35" t="n">
        <x:v>0</x:v>
      </x:c>
      <x:c r="S7" s="35" t="n">
        <x:v>0</x:v>
      </x:c>
      <x:c r="T7" s="35" t="n">
        <x:v>0</x:v>
      </x:c>
      <x:c r="U7" s="35" t="n">
        <x:v>0</x:v>
      </x:c>
      <x:c r="V7" s="35" t="n">
        <x:v>0</x:v>
      </x:c>
      <x:c r="W7" s="38" t="n">
        <x:f>IF(T7=0,0,U7/T7)</x:f>
        <x:v>0</x:v>
      </x:c>
      <x:c r="X7" s="35" t="n">
        <x:f>V7-T7-U7</x:f>
        <x:v>0</x:v>
      </x:c>
      <x:c r="Y7" s="35" t="n">
        <x:v>1391</x:v>
      </x:c>
      <x:c r="Z7" s="59" t="n">
        <x:v>2.170047</x:v>
      </x:c>
      <x:c r="AA7" s="35" t="n">
        <x:v>43</x:v>
      </x:c>
      <x:c r="AB7" s="35" t="n">
        <x:v>9</x:v>
      </x:c>
      <x:c r="AC7" s="35" t="n">
        <x:v>52</x:v>
      </x:c>
      <x:c r="AD7" s="35" t="n">
        <x:v>52</x:v>
      </x:c>
      <x:c r="AE7" s="62" t="b">
        <x:v>1</x:v>
      </x:c>
      <x:c r="AF7" s="35" t="n">
        <x:v>1290655016</x:v>
      </x:c>
      <x:c r="AG7" s="32" t="str">
        <x:v>raw_xml\05_endurance_op_stop_check.xml</x:v>
      </x:c>
      <x:c r="AH7" s="41" t="str">
        <x:v>P/E limit 1 stress test; not a physical lifetime estimate</x:v>
      </x:c>
    </x:row>
  </x:sheetData>
  <x:mergeCells>
    <x:mergeCell ref="A1:A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3" max="3" width="20" hidden="0" customWidth="1"/>
    <x:col min="13" max="13" width="20" hidden="0" customWidth="1"/>
    <x:col min="14" max="14" width="20" hidden="0" customWidth="1"/>
    <x:col min="17" max="17" width="20" hidden="0" customWidth="1"/>
    <x:col min="18" max="18" width="20" hidden="0" customWidth="1"/>
    <x:col min="2" max="2" width="2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5" max="15" width="15" hidden="0" customWidth="1"/>
    <x:col min="16" max="16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30" customHeight="1">
      <x:c r="A1" s="4" t="str">
        <x:v>Experiment Parameters — Inputs preserved as XML</x:v>
      </x:c>
      <x:c r="B1" s="4" t="str">
        <x:v>Experiment Parameters — Inputs preserved as XML</x:v>
      </x:c>
      <x:c r="C1" s="4" t="str">
        <x:v>Experiment Parameters — Inputs preserved as XML</x:v>
      </x:c>
      <x:c r="D1" s="4" t="str">
        <x:v>Experiment Parameters — Inputs preserved as XML</x:v>
      </x:c>
      <x:c r="E1" s="4" t="str">
        <x:v>Experiment Parameters — Inputs preserved as XML</x:v>
      </x:c>
      <x:c r="F1" s="4" t="str">
        <x:v>Experiment Parameters — Inputs preserved as XML</x:v>
      </x:c>
      <x:c r="G1" s="4" t="str">
        <x:v>Experiment Parameters — Inputs preserved as XML</x:v>
      </x:c>
      <x:c r="H1" s="4" t="str">
        <x:v>Experiment Parameters — Inputs preserved as XML</x:v>
      </x:c>
      <x:c r="I1" s="4" t="str">
        <x:v>Experiment Parameters — Inputs preserved as XML</x:v>
      </x:c>
      <x:c r="J1" s="4" t="str">
        <x:v>Experiment Parameters — Inputs preserved as XML</x:v>
      </x:c>
      <x:c r="K1" s="4" t="str">
        <x:v>Experiment Parameters — Inputs preserved as XML</x:v>
      </x:c>
      <x:c r="L1" s="4" t="str">
        <x:v>Experiment Parameters — Inputs preserved as XML</x:v>
      </x:c>
      <x:c r="M1" s="4" t="str">
        <x:v>Experiment Parameters — Inputs preserved as XML</x:v>
      </x:c>
      <x:c r="N1" s="4" t="str">
        <x:v>Experiment Parameters — Inputs preserved as XML</x:v>
      </x:c>
      <x:c r="O1" s="4" t="str">
        <x:v>Experiment Parameters — Inputs preserved as XML</x:v>
      </x:c>
      <x:c r="P1" s="4" t="str">
        <x:v>Experiment Parameters — Inputs preserved as XML</x:v>
      </x:c>
      <x:c r="Q1" s="4" t="str">
        <x:v>Experiment Parameters — Inputs preserved as XML</x:v>
      </x:c>
      <x:c r="R1" s="4" t="str">
        <x:v>Experiment Parameters — Inputs preserved as XML</x:v>
      </x:c>
      <x:c r="S1" s="4" t="str">
        <x:v>Experiment Parameters — Inputs preserved as XML</x:v>
      </x:c>
      <x:c r="T1" s="4" t="str">
        <x:v>Experiment Parameters — Inputs preserved as XML</x:v>
      </x:c>
      <x:c r="U1" s="4" t="str">
        <x:v>Experiment Parameters — Inputs preserved as XML</x:v>
      </x:c>
      <x:c r="V1" s="4" t="str">
        <x:v>Experiment Parameters — Inputs preserved as XML</x:v>
      </x:c>
      <x:c r="W1" s="4" t="str">
        <x:v>Experiment Parameters — Inputs preserved as XML</x:v>
      </x:c>
      <x:c r="X1" s="4" t="str">
        <x:v>Experiment Parameters — Inputs preserved as XML</x:v>
      </x:c>
      <x:c r="Y1" s="4" t="str">
        <x:v>Experiment Parameters — Inputs preserved as XML</x:v>
      </x:c>
      <x:c r="Z1" s="4" t="str">
        <x:v>Experiment Parameters — Inputs preserved as XML</x:v>
      </x:c>
    </x:row>
    <x:row r="2" ht="32" customHeight="1">
      <x:c r="A2" s="24" t="str">
        <x:v>Experiment_ID</x:v>
      </x:c>
      <x:c r="B2" s="25" t="str">
        <x:v>Experiment</x:v>
      </x:c>
      <x:c r="C2" s="25" t="str">
        <x:v>Benchmark_Status</x:v>
      </x:c>
      <x:c r="D2" s="25" t="str">
        <x:v>SSD_Count</x:v>
      </x:c>
      <x:c r="E2" s="25" t="str">
        <x:v>Stripe_Unit_LBA</x:v>
      </x:c>
      <x:c r="F2" s="25" t="str">
        <x:v>SWANS_Enabled</x:v>
      </x:c>
      <x:c r="G2" s="25" t="str">
        <x:v>Zone_Size_LBA</x:v>
      </x:c>
      <x:c r="H2" s="25" t="str">
        <x:v>Zone_Size_MiB</x:v>
      </x:c>
      <x:c r="I2" s="25" t="str">
        <x:v>TH_Precautionary</x:v>
      </x:c>
      <x:c r="J2" s="25" t="str">
        <x:v>TH_Critical</x:v>
      </x:c>
      <x:c r="K2" s="25" t="str">
        <x:v>Epoch_s</x:v>
      </x:c>
      <x:c r="L2" s="25" t="str">
        <x:v>OP_Ratio</x:v>
      </x:c>
      <x:c r="M2" s="25" t="str">
        <x:v>Caching_Mechanism</x:v>
      </x:c>
      <x:c r="N2" s="25" t="str">
        <x:v>Device_Cache_Mode</x:v>
      </x:c>
      <x:c r="O2" s="25" t="str">
        <x:v>PE_Cycles_Limit</x:v>
      </x:c>
      <x:c r="P2" s="25" t="str">
        <x:v>Initial_Occupancy_pct</x:v>
      </x:c>
      <x:c r="Q2" s="25" t="str">
        <x:v>Workload_Type</x:v>
      </x:c>
      <x:c r="R2" s="25" t="str">
        <x:v>Trace_or_Generator</x:v>
      </x:c>
      <x:c r="S2" s="25" t="str">
        <x:v>Total_Requests_Planned</x:v>
      </x:c>
      <x:c r="T2" s="25" t="str">
        <x:v>Channels</x:v>
      </x:c>
      <x:c r="U2" s="25" t="str">
        <x:v>Chips_per_Channel</x:v>
      </x:c>
      <x:c r="V2" s="25" t="str">
        <x:v>Dies_per_Chip</x:v>
      </x:c>
      <x:c r="W2" s="25" t="str">
        <x:v>Planes_per_Die</x:v>
      </x:c>
      <x:c r="X2" s="25" t="str">
        <x:v>Blocks_per_Plane</x:v>
      </x:c>
      <x:c r="Y2" s="25" t="str">
        <x:v>Pages_per_Block</x:v>
      </x:c>
      <x:c r="Z2" s="26" t="str">
        <x:v>Page_Capacity_Bytes</x:v>
      </x:c>
    </x:row>
    <x:row r="3">
      <x:c r="A3" s="30" t="str">
        <x:v>EXP-01</x:v>
      </x:c>
      <x:c r="B3" s="30" t="str">
        <x:v>MSRC prxy0 500k</x:v>
      </x:c>
      <x:c r="C3" s="30" t="str">
        <x:v>Yes</x:v>
      </x:c>
      <x:c r="D3" s="33" t="n">
        <x:v>4</x:v>
      </x:c>
      <x:c r="E3" s="33" t="n">
        <x:v>512</x:v>
      </x:c>
      <x:c r="F3" s="60" t="b">
        <x:v>1</x:v>
      </x:c>
      <x:c r="G3" s="33" t="n">
        <x:v>32768</x:v>
      </x:c>
      <x:c r="H3" s="63" t="n">
        <x:f>G3*512/1048576</x:f>
        <x:v>16</x:v>
      </x:c>
      <x:c r="I3" s="63" t="n">
        <x:v>5</x:v>
      </x:c>
      <x:c r="J3" s="63" t="n">
        <x:v>15</x:v>
      </x:c>
      <x:c r="K3" s="63" t="n">
        <x:f>40000000000/1000000000</x:f>
        <x:v>40</x:v>
      </x:c>
      <x:c r="L3" s="66" t="n">
        <x:v>0.2</x:v>
      </x:c>
      <x:c r="M3" s="30" t="str">
        <x:v>SIMPLE</x:v>
      </x:c>
      <x:c r="N3" s="30" t="str">
        <x:v>TURNED_OFF</x:v>
      </x:c>
      <x:c r="O3" s="33" t="n">
        <x:v>10000</x:v>
      </x:c>
      <x:c r="P3" s="33" t="n">
        <x:v>70</x:v>
      </x:c>
      <x:c r="Q3" s="30" t="str">
        <x:v>Trace based</x:v>
      </x:c>
      <x:c r="R3" s="30" t="str">
        <x:v>prxy0_500k_realtime.trace</x:v>
      </x:c>
      <x:c r="S3" s="33"/>
      <x:c r="T3" s="33" t="n">
        <x:v>8</x:v>
      </x:c>
      <x:c r="U3" s="33" t="n">
        <x:v>4</x:v>
      </x:c>
      <x:c r="V3" s="33" t="n">
        <x:v>2</x:v>
      </x:c>
      <x:c r="W3" s="33" t="n">
        <x:v>2</x:v>
      </x:c>
      <x:c r="X3" s="33" t="n">
        <x:v>256</x:v>
      </x:c>
      <x:c r="Y3" s="33" t="n">
        <x:v>256</x:v>
      </x:c>
      <x:c r="Z3" s="33" t="n">
        <x:v>8192</x:v>
      </x:c>
    </x:row>
    <x:row r="4">
      <x:c r="A4" s="31" t="str">
        <x:v>EXP-02</x:v>
      </x:c>
      <x:c r="B4" s="31" t="str">
        <x:v>Forced migration</x:v>
      </x:c>
      <x:c r="C4" s="31" t="str">
        <x:v>Functional check</x:v>
      </x:c>
      <x:c r="D4" s="34" t="n">
        <x:v>4</x:v>
      </x:c>
      <x:c r="E4" s="34" t="n">
        <x:v>512</x:v>
      </x:c>
      <x:c r="F4" s="61" t="b">
        <x:v>1</x:v>
      </x:c>
      <x:c r="G4" s="34" t="n">
        <x:v>32768</x:v>
      </x:c>
      <x:c r="H4" s="64" t="n">
        <x:f>G4*512/1048576</x:f>
        <x:v>16</x:v>
      </x:c>
      <x:c r="I4" s="64" t="n">
        <x:v>5</x:v>
      </x:c>
      <x:c r="J4" s="64" t="n">
        <x:v>5.5</x:v>
      </x:c>
      <x:c r="K4" s="64" t="n">
        <x:f>40000000000/1000000000</x:f>
        <x:v>40</x:v>
      </x:c>
      <x:c r="L4" s="67" t="n">
        <x:v>0.2</x:v>
      </x:c>
      <x:c r="M4" s="31" t="str">
        <x:v>SIMPLE</x:v>
      </x:c>
      <x:c r="N4" s="31" t="str">
        <x:v>TURNED_OFF</x:v>
      </x:c>
      <x:c r="O4" s="34" t="n">
        <x:v>10000</x:v>
      </x:c>
      <x:c r="P4" s="34" t="n">
        <x:v>70</x:v>
      </x:c>
      <x:c r="Q4" s="31" t="str">
        <x:v>Trace based</x:v>
      </x:c>
      <x:c r="R4" s="31" t="str">
        <x:v>prxy0_500k_realtime.trace</x:v>
      </x:c>
      <x:c r="S4" s="34"/>
      <x:c r="T4" s="34" t="n">
        <x:v>8</x:v>
      </x:c>
      <x:c r="U4" s="34" t="n">
        <x:v>4</x:v>
      </x:c>
      <x:c r="V4" s="34" t="n">
        <x:v>2</x:v>
      </x:c>
      <x:c r="W4" s="34" t="n">
        <x:v>2</x:v>
      </x:c>
      <x:c r="X4" s="34" t="n">
        <x:v>256</x:v>
      </x:c>
      <x:c r="Y4" s="34" t="n">
        <x:v>256</x:v>
      </x:c>
      <x:c r="Z4" s="34" t="n">
        <x:v>8192</x:v>
      </x:c>
    </x:row>
    <x:row r="5">
      <x:c r="A5" s="31" t="str">
        <x:v>EXP-03</x:v>
      </x:c>
      <x:c r="B5" s="31" t="str">
        <x:v>Compressed overlap</x:v>
      </x:c>
      <x:c r="C5" s="31" t="str">
        <x:v>Functional check</x:v>
      </x:c>
      <x:c r="D5" s="34" t="n">
        <x:v>4</x:v>
      </x:c>
      <x:c r="E5" s="34" t="n">
        <x:v>512</x:v>
      </x:c>
      <x:c r="F5" s="61" t="b">
        <x:v>1</x:v>
      </x:c>
      <x:c r="G5" s="34" t="n">
        <x:v>32768</x:v>
      </x:c>
      <x:c r="H5" s="64" t="n">
        <x:f>G5*512/1048576</x:f>
        <x:v>16</x:v>
      </x:c>
      <x:c r="I5" s="64" t="n">
        <x:v>5</x:v>
      </x:c>
      <x:c r="J5" s="64" t="n">
        <x:v>5.5</x:v>
      </x:c>
      <x:c r="K5" s="64" t="n">
        <x:f>40000000000/1000000000</x:f>
        <x:v>40</x:v>
      </x:c>
      <x:c r="L5" s="67" t="n">
        <x:v>0.2</x:v>
      </x:c>
      <x:c r="M5" s="31" t="str">
        <x:v>SIMPLE</x:v>
      </x:c>
      <x:c r="N5" s="31" t="str">
        <x:v>TURNED_OFF</x:v>
      </x:c>
      <x:c r="O5" s="34" t="n">
        <x:v>10000</x:v>
      </x:c>
      <x:c r="P5" s="34" t="n">
        <x:v>70</x:v>
      </x:c>
      <x:c r="Q5" s="31" t="str">
        <x:v>Trace based</x:v>
      </x:c>
      <x:c r="R5" s="31" t="str">
        <x:v>prxy0_500k.trace</x:v>
      </x:c>
      <x:c r="S5" s="34"/>
      <x:c r="T5" s="34" t="n">
        <x:v>8</x:v>
      </x:c>
      <x:c r="U5" s="34" t="n">
        <x:v>4</x:v>
      </x:c>
      <x:c r="V5" s="34" t="n">
        <x:v>2</x:v>
      </x:c>
      <x:c r="W5" s="34" t="n">
        <x:v>2</x:v>
      </x:c>
      <x:c r="X5" s="34" t="n">
        <x:v>256</x:v>
      </x:c>
      <x:c r="Y5" s="34" t="n">
        <x:v>256</x:v>
      </x:c>
      <x:c r="Z5" s="34" t="n">
        <x:v>8192</x:v>
      </x:c>
    </x:row>
    <x:row r="6">
      <x:c r="A6" s="31" t="str">
        <x:v>EXP-04</x:v>
      </x:c>
      <x:c r="B6" s="31" t="str">
        <x:v>Read/write wait</x:v>
      </x:c>
      <x:c r="C6" s="31" t="str">
        <x:v>Functional check</x:v>
      </x:c>
      <x:c r="D6" s="34" t="n">
        <x:v>4</x:v>
      </x:c>
      <x:c r="E6" s="34" t="n">
        <x:v>512</x:v>
      </x:c>
      <x:c r="F6" s="61" t="b">
        <x:v>1</x:v>
      </x:c>
      <x:c r="G6" s="34" t="n">
        <x:v>32768</x:v>
      </x:c>
      <x:c r="H6" s="64" t="n">
        <x:f>G6*512/1048576</x:f>
        <x:v>16</x:v>
      </x:c>
      <x:c r="I6" s="64" t="n">
        <x:v>5</x:v>
      </x:c>
      <x:c r="J6" s="64" t="n">
        <x:v>5.5</x:v>
      </x:c>
      <x:c r="K6" s="64" t="n">
        <x:f>40000000000/1000000000</x:f>
        <x:v>40</x:v>
      </x:c>
      <x:c r="L6" s="67" t="n">
        <x:v>0.2</x:v>
      </x:c>
      <x:c r="M6" s="31" t="str">
        <x:v>SIMPLE</x:v>
      </x:c>
      <x:c r="N6" s="31" t="str">
        <x:v>TURNED_OFF</x:v>
      </x:c>
      <x:c r="O6" s="34" t="n">
        <x:v>10000</x:v>
      </x:c>
      <x:c r="P6" s="34" t="n">
        <x:v>70</x:v>
      </x:c>
      <x:c r="Q6" s="31" t="str">
        <x:v>Trace based</x:v>
      </x:c>
      <x:c r="R6" s="31" t="str">
        <x:v>migration_overlap_rw.trace</x:v>
      </x:c>
      <x:c r="S6" s="34"/>
      <x:c r="T6" s="34" t="n">
        <x:v>8</x:v>
      </x:c>
      <x:c r="U6" s="34" t="n">
        <x:v>4</x:v>
      </x:c>
      <x:c r="V6" s="34" t="n">
        <x:v>2</x:v>
      </x:c>
      <x:c r="W6" s="34" t="n">
        <x:v>2</x:v>
      </x:c>
      <x:c r="X6" s="34" t="n">
        <x:v>256</x:v>
      </x:c>
      <x:c r="Y6" s="34" t="n">
        <x:v>256</x:v>
      </x:c>
      <x:c r="Z6" s="34" t="n">
        <x:v>8192</x:v>
      </x:c>
    </x:row>
    <x:row r="7">
      <x:c r="A7" s="32" t="str">
        <x:v>EXP-05</x:v>
      </x:c>
      <x:c r="B7" s="32" t="str">
        <x:v>Endurance OP stop</x:v>
      </x:c>
      <x:c r="C7" s="32" t="str">
        <x:v>Functional check</x:v>
      </x:c>
      <x:c r="D7" s="35" t="n">
        <x:v>1</x:v>
      </x:c>
      <x:c r="E7" s="35" t="n">
        <x:v>512</x:v>
      </x:c>
      <x:c r="F7" s="62" t="b">
        <x:v>0</x:v>
      </x:c>
      <x:c r="G7" s="35" t="n">
        <x:v>32768</x:v>
      </x:c>
      <x:c r="H7" s="65" t="n">
        <x:f>G7*512/1048576</x:f>
        <x:v>16</x:v>
      </x:c>
      <x:c r="I7" s="65" t="n">
        <x:v>5</x:v>
      </x:c>
      <x:c r="J7" s="65" t="n">
        <x:v>15</x:v>
      </x:c>
      <x:c r="K7" s="65" t="n">
        <x:f>40000000000/1000000000</x:f>
        <x:v>40</x:v>
      </x:c>
      <x:c r="L7" s="68" t="n">
        <x:v>0.2</x:v>
      </x:c>
      <x:c r="M7" s="32" t="str">
        <x:v>SIMPLE</x:v>
      </x:c>
      <x:c r="N7" s="32" t="str">
        <x:v>TURNED_OFF</x:v>
      </x:c>
      <x:c r="O7" s="35" t="n">
        <x:v>1</x:v>
      </x:c>
      <x:c r="P7" s="35" t="n">
        <x:v>70</x:v>
      </x:c>
      <x:c r="Q7" s="32" t="str">
        <x:v>Synthetic</x:v>
      </x:c>
      <x:c r="R7" s="32" t="str">
        <x:v>Synthetic</x:v>
      </x:c>
      <x:c r="S7" s="35" t="n">
        <x:v>50000</x:v>
      </x:c>
      <x:c r="T7" s="35" t="n">
        <x:v>1</x:v>
      </x:c>
      <x:c r="U7" s="35" t="n">
        <x:v>1</x:v>
      </x:c>
      <x:c r="V7" s="35" t="n">
        <x:v>1</x:v>
      </x:c>
      <x:c r="W7" s="35" t="n">
        <x:v>1</x:v>
      </x:c>
      <x:c r="X7" s="35" t="n">
        <x:v>256</x:v>
      </x:c>
      <x:c r="Y7" s="35" t="n">
        <x:v>32</x:v>
      </x:c>
      <x:c r="Z7" s="35" t="n">
        <x:v>4096</x:v>
      </x:c>
    </x:row>
  </x:sheetData>
  <x:mergeCells>
    <x:mergeCell ref="A1:Z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4" t="str">
        <x:v>Per-SSD WAM — Sector counts</x:v>
      </x:c>
      <x:c r="B1" s="4" t="str">
        <x:v>Per-SSD WAM — Sector counts</x:v>
      </x:c>
      <x:c r="C1" s="4" t="str">
        <x:v>Per-SSD WAM — Sector counts</x:v>
      </x:c>
      <x:c r="D1" s="4" t="str">
        <x:v>Per-SSD WAM — Sector counts</x:v>
      </x:c>
      <x:c r="E1" s="4" t="str">
        <x:v>Per-SSD WAM — Sector counts</x:v>
      </x:c>
      <x:c r="F1" s="4" t="str">
        <x:v>Per-SSD WAM — Sector counts</x:v>
      </x:c>
    </x:row>
    <x:row r="2" ht="32" customHeight="1">
      <x:c r="A2" s="24" t="str">
        <x:v>Experiment_ID</x:v>
      </x:c>
      <x:c r="B2" s="25" t="str">
        <x:v>Experiment</x:v>
      </x:c>
      <x:c r="C2" s="25" t="str">
        <x:v>SSD_ID</x:v>
      </x:c>
      <x:c r="D2" s="25" t="str">
        <x:v>Host_Write_Sectors</x:v>
      </x:c>
      <x:c r="E2" s="25" t="str">
        <x:v>Migration_Write_Sectors</x:v>
      </x:c>
      <x:c r="F2" s="26" t="str">
        <x:v>Cumulative_Write_Sectors</x:v>
      </x:c>
    </x:row>
    <x:row r="3">
      <x:c r="A3" s="30" t="str">
        <x:v>EXP-01</x:v>
      </x:c>
      <x:c r="B3" s="30" t="str">
        <x:v>MSRC prxy0 500k</x:v>
      </x:c>
      <x:c r="C3" s="33" t="n">
        <x:v>0</x:v>
      </x:c>
      <x:c r="D3" s="33" t="n">
        <x:v>763907</x:v>
      </x:c>
      <x:c r="E3" s="33" t="n">
        <x:v>0</x:v>
      </x:c>
      <x:c r="F3" s="33" t="n">
        <x:v>763907</x:v>
      </x:c>
    </x:row>
    <x:row r="4">
      <x:c r="A4" s="31" t="str">
        <x:v>EXP-01</x:v>
      </x:c>
      <x:c r="B4" s="31" t="str">
        <x:v>MSRC prxy0 500k</x:v>
      </x:c>
      <x:c r="C4" s="34" t="n">
        <x:v>1</x:v>
      </x:c>
      <x:c r="D4" s="34" t="n">
        <x:v>543632</x:v>
      </x:c>
      <x:c r="E4" s="34" t="n">
        <x:v>0</x:v>
      </x:c>
      <x:c r="F4" s="34" t="n">
        <x:v>543632</x:v>
      </x:c>
    </x:row>
    <x:row r="5">
      <x:c r="A5" s="31" t="str">
        <x:v>EXP-01</x:v>
      </x:c>
      <x:c r="B5" s="31" t="str">
        <x:v>MSRC prxy0 500k</x:v>
      </x:c>
      <x:c r="C5" s="34" t="n">
        <x:v>2</x:v>
      </x:c>
      <x:c r="D5" s="34" t="n">
        <x:v>404067</x:v>
      </x:c>
      <x:c r="E5" s="34" t="n">
        <x:v>0</x:v>
      </x:c>
      <x:c r="F5" s="34" t="n">
        <x:v>404067</x:v>
      </x:c>
    </x:row>
    <x:row r="6">
      <x:c r="A6" s="31" t="str">
        <x:v>EXP-01</x:v>
      </x:c>
      <x:c r="B6" s="31" t="str">
        <x:v>MSRC prxy0 500k</x:v>
      </x:c>
      <x:c r="C6" s="34" t="n">
        <x:v>3</x:v>
      </x:c>
      <x:c r="D6" s="34" t="n">
        <x:v>523063</x:v>
      </x:c>
      <x:c r="E6" s="34" t="n">
        <x:v>0</x:v>
      </x:c>
      <x:c r="F6" s="34" t="n">
        <x:v>523063</x:v>
      </x:c>
    </x:row>
    <x:row r="7">
      <x:c r="A7" s="31" t="str">
        <x:v>EXP-02</x:v>
      </x:c>
      <x:c r="B7" s="31" t="str">
        <x:v>Forced migration</x:v>
      </x:c>
      <x:c r="C7" s="34" t="n">
        <x:v>0</x:v>
      </x:c>
      <x:c r="D7" s="34" t="n">
        <x:v>647589</x:v>
      </x:c>
      <x:c r="E7" s="34" t="n">
        <x:v>0</x:v>
      </x:c>
      <x:c r="F7" s="34" t="n">
        <x:v>647589</x:v>
      </x:c>
    </x:row>
    <x:row r="8">
      <x:c r="A8" s="31" t="str">
        <x:v>EXP-02</x:v>
      </x:c>
      <x:c r="B8" s="31" t="str">
        <x:v>Forced migration</x:v>
      </x:c>
      <x:c r="C8" s="34" t="n">
        <x:v>1</x:v>
      </x:c>
      <x:c r="D8" s="34" t="n">
        <x:v>490192</x:v>
      </x:c>
      <x:c r="E8" s="34" t="n">
        <x:v>8192</x:v>
      </x:c>
      <x:c r="F8" s="34" t="n">
        <x:v>498384</x:v>
      </x:c>
    </x:row>
    <x:row r="9">
      <x:c r="A9" s="31" t="str">
        <x:v>EXP-02</x:v>
      </x:c>
      <x:c r="B9" s="31" t="str">
        <x:v>Forced migration</x:v>
      </x:c>
      <x:c r="C9" s="34" t="n">
        <x:v>2</x:v>
      </x:c>
      <x:c r="D9" s="34" t="n">
        <x:v>445923</x:v>
      </x:c>
      <x:c r="E9" s="34" t="n">
        <x:v>24576</x:v>
      </x:c>
      <x:c r="F9" s="34" t="n">
        <x:v>470499</x:v>
      </x:c>
    </x:row>
    <x:row r="10">
      <x:c r="A10" s="31" t="str">
        <x:v>EXP-02</x:v>
      </x:c>
      <x:c r="B10" s="31" t="str">
        <x:v>Forced migration</x:v>
      </x:c>
      <x:c r="C10" s="34" t="n">
        <x:v>3</x:v>
      </x:c>
      <x:c r="D10" s="34" t="n">
        <x:v>650965</x:v>
      </x:c>
      <x:c r="E10" s="34" t="n">
        <x:v>8192</x:v>
      </x:c>
      <x:c r="F10" s="34" t="n">
        <x:v>659157</x:v>
      </x:c>
    </x:row>
    <x:row r="11">
      <x:c r="A11" s="31" t="str">
        <x:v>EXP-03</x:v>
      </x:c>
      <x:c r="B11" s="31" t="str">
        <x:v>Compressed overlap</x:v>
      </x:c>
      <x:c r="C11" s="34" t="n">
        <x:v>0</x:v>
      </x:c>
      <x:c r="D11" s="34" t="n">
        <x:v>711326</x:v>
      </x:c>
      <x:c r="E11" s="34" t="n">
        <x:v>0</x:v>
      </x:c>
      <x:c r="F11" s="34" t="n">
        <x:v>711326</x:v>
      </x:c>
    </x:row>
    <x:row r="12">
      <x:c r="A12" s="31" t="str">
        <x:v>EXP-03</x:v>
      </x:c>
      <x:c r="B12" s="31" t="str">
        <x:v>Compressed overlap</x:v>
      </x:c>
      <x:c r="C12" s="34" t="n">
        <x:v>1</x:v>
      </x:c>
      <x:c r="D12" s="34" t="n">
        <x:v>520895</x:v>
      </x:c>
      <x:c r="E12" s="34" t="n">
        <x:v>0</x:v>
      </x:c>
      <x:c r="F12" s="34" t="n">
        <x:v>520895</x:v>
      </x:c>
    </x:row>
    <x:row r="13">
      <x:c r="A13" s="31" t="str">
        <x:v>EXP-03</x:v>
      </x:c>
      <x:c r="B13" s="31" t="str">
        <x:v>Compressed overlap</x:v>
      </x:c>
      <x:c r="C13" s="34" t="n">
        <x:v>2</x:v>
      </x:c>
      <x:c r="D13" s="34" t="n">
        <x:v>479385</x:v>
      </x:c>
      <x:c r="E13" s="34" t="n">
        <x:v>4096</x:v>
      </x:c>
      <x:c r="F13" s="34" t="n">
        <x:v>483481</x:v>
      </x:c>
    </x:row>
    <x:row r="14">
      <x:c r="A14" s="31" t="str">
        <x:v>EXP-03</x:v>
      </x:c>
      <x:c r="B14" s="31" t="str">
        <x:v>Compressed overlap</x:v>
      </x:c>
      <x:c r="C14" s="34" t="n">
        <x:v>3</x:v>
      </x:c>
      <x:c r="D14" s="34" t="n">
        <x:v>523063</x:v>
      </x:c>
      <x:c r="E14" s="34" t="n">
        <x:v>0</x:v>
      </x:c>
      <x:c r="F14" s="34" t="n">
        <x:v>523063</x:v>
      </x:c>
    </x:row>
    <x:row r="15">
      <x:c r="A15" s="31" t="str">
        <x:v>EXP-04</x:v>
      </x:c>
      <x:c r="B15" s="31" t="str">
        <x:v>Read/write wait</x:v>
      </x:c>
      <x:c r="C15" s="34" t="n">
        <x:v>0</x:v>
      </x:c>
      <x:c r="D15" s="34" t="n">
        <x:v>2672</x:v>
      </x:c>
      <x:c r="E15" s="34" t="n">
        <x:v>12288</x:v>
      </x:c>
      <x:c r="F15" s="34" t="n">
        <x:v>14960</x:v>
      </x:c>
    </x:row>
    <x:row r="16">
      <x:c r="A16" s="31" t="str">
        <x:v>EXP-04</x:v>
      </x:c>
      <x:c r="B16" s="31" t="str">
        <x:v>Read/write wait</x:v>
      </x:c>
      <x:c r="C16" s="34" t="n">
        <x:v>1</x:v>
      </x:c>
      <x:c r="D16" s="34" t="n">
        <x:v>1741</x:v>
      </x:c>
      <x:c r="E16" s="34" t="n">
        <x:v>8192</x:v>
      </x:c>
      <x:c r="F16" s="34" t="n">
        <x:v>9933</x:v>
      </x:c>
    </x:row>
    <x:row r="17">
      <x:c r="A17" s="31" t="str">
        <x:v>EXP-04</x:v>
      </x:c>
      <x:c r="B17" s="31" t="str">
        <x:v>Read/write wait</x:v>
      </x:c>
      <x:c r="C17" s="34" t="n">
        <x:v>2</x:v>
      </x:c>
      <x:c r="D17" s="34" t="n">
        <x:v>1643</x:v>
      </x:c>
      <x:c r="E17" s="34" t="n">
        <x:v>12288</x:v>
      </x:c>
      <x:c r="F17" s="34" t="n">
        <x:v>13931</x:v>
      </x:c>
    </x:row>
    <x:row r="18">
      <x:c r="A18" s="31" t="str">
        <x:v>EXP-04</x:v>
      </x:c>
      <x:c r="B18" s="31" t="str">
        <x:v>Read/write wait</x:v>
      </x:c>
      <x:c r="C18" s="34" t="n">
        <x:v>3</x:v>
      </x:c>
      <x:c r="D18" s="34" t="n">
        <x:v>1340</x:v>
      </x:c>
      <x:c r="E18" s="34" t="n">
        <x:v>12288</x:v>
      </x:c>
      <x:c r="F18" s="34" t="n">
        <x:v>13628</x:v>
      </x:c>
    </x:row>
    <x:row r="19">
      <x:c r="A19" s="32" t="str">
        <x:v>EXP-05</x:v>
      </x:c>
      <x:c r="B19" s="32" t="str">
        <x:v>Endurance OP stop</x:v>
      </x:c>
      <x:c r="C19" s="35" t="n">
        <x:v>0</x:v>
      </x:c>
      <x:c r="D19" s="35" t="n">
        <x:v>0</x:v>
      </x:c>
      <x:c r="E19" s="35" t="n">
        <x:v>0</x:v>
      </x:c>
      <x:c r="F19" s="35" t="n">
        <x:v>0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4" t="str">
        <x:v>Migration History — Parsed records</x:v>
      </x:c>
      <x:c r="B1" s="4" t="str">
        <x:v>Migration History — Parsed records</x:v>
      </x:c>
      <x:c r="C1" s="4" t="str">
        <x:v>Migration History — Parsed records</x:v>
      </x:c>
      <x:c r="D1" s="4" t="str">
        <x:v>Migration History — Parsed records</x:v>
      </x:c>
      <x:c r="E1" s="4" t="str">
        <x:v>Migration History — Parsed records</x:v>
      </x:c>
      <x:c r="F1" s="4" t="str">
        <x:v>Migration History — Parsed records</x:v>
      </x:c>
      <x:c r="G1" s="4" t="str">
        <x:v>Migration History — Parsed records</x:v>
      </x:c>
      <x:c r="H1" s="4" t="str">
        <x:v>Migration History — Parsed records</x:v>
      </x:c>
      <x:c r="I1" s="4" t="str">
        <x:v>Migration History — Parsed records</x:v>
      </x:c>
      <x:c r="J1" s="4" t="str">
        <x:v>Migration History — Parsed records</x:v>
      </x:c>
    </x:row>
    <x:row r="2" ht="32" customHeight="1">
      <x:c r="A2" s="24" t="str">
        <x:v>Experiment_ID</x:v>
      </x:c>
      <x:c r="B2" s="25" t="str">
        <x:v>Experiment</x:v>
      </x:c>
      <x:c r="C2" s="25" t="str">
        <x:v>Sequence</x:v>
      </x:c>
      <x:c r="D2" s="25" t="str">
        <x:v>Start_Time_ns</x:v>
      </x:c>
      <x:c r="E2" s="25" t="str">
        <x:v>Hot_SSD</x:v>
      </x:c>
      <x:c r="F2" s="25" t="str">
        <x:v>Cold_SSD</x:v>
      </x:c>
      <x:c r="G2" s="25" t="str">
        <x:v>Hot_Zone</x:v>
      </x:c>
      <x:c r="H2" s="25" t="str">
        <x:v>Cold_Zone</x:v>
      </x:c>
      <x:c r="I2" s="25" t="str">
        <x:v>Copy_Blocks</x:v>
      </x:c>
      <x:c r="J2" s="26" t="str">
        <x:v>Copy_Sectors</x:v>
      </x:c>
    </x:row>
    <x:row r="3">
      <x:c r="A3" s="30" t="str">
        <x:v>EXP-02</x:v>
      </x:c>
      <x:c r="B3" s="30" t="str">
        <x:v>Forced migration</x:v>
      </x:c>
      <x:c r="C3" s="33" t="n">
        <x:v>0</x:v>
      </x:c>
      <x:c r="D3" s="33" t="n">
        <x:v>40000000000</x:v>
      </x:c>
      <x:c r="E3" s="33" t="n">
        <x:v>0</x:v>
      </x:c>
      <x:c r="F3" s="33" t="n">
        <x:v>1</x:v>
      </x:c>
      <x:c r="G3" s="33" t="n">
        <x:v>40</x:v>
      </x:c>
      <x:c r="H3" s="33" t="n">
        <x:v>1</x:v>
      </x:c>
      <x:c r="I3" s="33" t="n">
        <x:v>2</x:v>
      </x:c>
      <x:c r="J3" s="33" t="n">
        <x:v>8192</x:v>
      </x:c>
    </x:row>
    <x:row r="4">
      <x:c r="A4" s="31" t="str">
        <x:v>EXP-02</x:v>
      </x:c>
      <x:c r="B4" s="31" t="str">
        <x:v>Forced migration</x:v>
      </x:c>
      <x:c r="C4" s="34" t="n">
        <x:v>1</x:v>
      </x:c>
      <x:c r="D4" s="34" t="n">
        <x:v>80000000000</x:v>
      </x:c>
      <x:c r="E4" s="34" t="n">
        <x:v>1</x:v>
      </x:c>
      <x:c r="F4" s="34" t="n">
        <x:v>2</x:v>
      </x:c>
      <x:c r="G4" s="34" t="n">
        <x:v>40</x:v>
      </x:c>
      <x:c r="H4" s="34" t="n">
        <x:v>2</x:v>
      </x:c>
      <x:c r="I4" s="34" t="n">
        <x:v>2</x:v>
      </x:c>
      <x:c r="J4" s="34" t="n">
        <x:v>8192</x:v>
      </x:c>
    </x:row>
    <x:row r="5">
      <x:c r="A5" s="31" t="str">
        <x:v>EXP-02</x:v>
      </x:c>
      <x:c r="B5" s="31" t="str">
        <x:v>Forced migration</x:v>
      </x:c>
      <x:c r="C5" s="34" t="n">
        <x:v>2</x:v>
      </x:c>
      <x:c r="D5" s="34" t="n">
        <x:v>120000000000</x:v>
      </x:c>
      <x:c r="E5" s="34" t="n">
        <x:v>2</x:v>
      </x:c>
      <x:c r="F5" s="34" t="n">
        <x:v>3</x:v>
      </x:c>
      <x:c r="G5" s="34" t="n">
        <x:v>40</x:v>
      </x:c>
      <x:c r="H5" s="34" t="n">
        <x:v>3</x:v>
      </x:c>
      <x:c r="I5" s="34" t="n">
        <x:v>2</x:v>
      </x:c>
      <x:c r="J5" s="34" t="n">
        <x:v>8192</x:v>
      </x:c>
    </x:row>
    <x:row r="6">
      <x:c r="A6" s="31" t="str">
        <x:v>EXP-02</x:v>
      </x:c>
      <x:c r="B6" s="31" t="str">
        <x:v>Forced migration</x:v>
      </x:c>
      <x:c r="C6" s="34" t="n">
        <x:v>3</x:v>
      </x:c>
      <x:c r="D6" s="34" t="n">
        <x:v>5880000000000</x:v>
      </x:c>
      <x:c r="E6" s="34" t="n">
        <x:v>0</x:v>
      </x:c>
      <x:c r="F6" s="34" t="n">
        <x:v>2</x:v>
      </x:c>
      <x:c r="G6" s="34" t="n">
        <x:v>188</x:v>
      </x:c>
      <x:c r="H6" s="34" t="n">
        <x:v>14</x:v>
      </x:c>
      <x:c r="I6" s="34" t="n">
        <x:v>4</x:v>
      </x:c>
      <x:c r="J6" s="34" t="n">
        <x:v>16384</x:v>
      </x:c>
    </x:row>
    <x:row r="7">
      <x:c r="A7" s="31" t="str">
        <x:v>EXP-03</x:v>
      </x:c>
      <x:c r="B7" s="31" t="str">
        <x:v>Compressed overlap</x:v>
      </x:c>
      <x:c r="C7" s="34" t="n">
        <x:v>0</x:v>
      </x:c>
      <x:c r="D7" s="34" t="n">
        <x:v>40000000000</x:v>
      </x:c>
      <x:c r="E7" s="34" t="n">
        <x:v>0</x:v>
      </x:c>
      <x:c r="F7" s="34" t="n">
        <x:v>2</x:v>
      </x:c>
      <x:c r="G7" s="34" t="n">
        <x:v>64</x:v>
      </x:c>
      <x:c r="H7" s="34" t="n">
        <x:v>2</x:v>
      </x:c>
      <x:c r="I7" s="34" t="n">
        <x:v>1</x:v>
      </x:c>
      <x:c r="J7" s="34" t="n">
        <x:v>4096</x:v>
      </x:c>
    </x:row>
    <x:row r="8">
      <x:c r="A8" s="31" t="str">
        <x:v>EXP-04</x:v>
      </x:c>
      <x:c r="B8" s="31" t="str">
        <x:v>Read/write wait</x:v>
      </x:c>
      <x:c r="C8" s="34" t="n">
        <x:v>0</x:v>
      </x:c>
      <x:c r="D8" s="34" t="n">
        <x:v>40000000000</x:v>
      </x:c>
      <x:c r="E8" s="34" t="n">
        <x:v>0</x:v>
      </x:c>
      <x:c r="F8" s="34" t="n">
        <x:v>1</x:v>
      </x:c>
      <x:c r="G8" s="34" t="n">
        <x:v>40</x:v>
      </x:c>
      <x:c r="H8" s="34" t="n">
        <x:v>1</x:v>
      </x:c>
      <x:c r="I8" s="34" t="n">
        <x:v>2</x:v>
      </x:c>
      <x:c r="J8" s="34" t="n">
        <x:v>8192</x:v>
      </x:c>
    </x:row>
    <x:row r="9">
      <x:c r="A9" s="31" t="str">
        <x:v>EXP-04</x:v>
      </x:c>
      <x:c r="B9" s="31" t="str">
        <x:v>Read/write wait</x:v>
      </x:c>
      <x:c r="C9" s="34" t="n">
        <x:v>1</x:v>
      </x:c>
      <x:c r="D9" s="34" t="n">
        <x:v>80000000000</x:v>
      </x:c>
      <x:c r="E9" s="34" t="n">
        <x:v>1</x:v>
      </x:c>
      <x:c r="F9" s="34" t="n">
        <x:v>3</x:v>
      </x:c>
      <x:c r="G9" s="34" t="n">
        <x:v>40</x:v>
      </x:c>
      <x:c r="H9" s="34" t="n">
        <x:v>3</x:v>
      </x:c>
      <x:c r="I9" s="34" t="n">
        <x:v>3</x:v>
      </x:c>
      <x:c r="J9" s="34" t="n">
        <x:v>12288</x:v>
      </x:c>
    </x:row>
    <x:row r="10">
      <x:c r="A10" s="31" t="str">
        <x:v>EXP-04</x:v>
      </x:c>
      <x:c r="B10" s="31" t="str">
        <x:v>Read/write wait</x:v>
      </x:c>
      <x:c r="C10" s="34" t="n">
        <x:v>2</x:v>
      </x:c>
      <x:c r="D10" s="34" t="n">
        <x:v>120000000000</x:v>
      </x:c>
      <x:c r="E10" s="34" t="n">
        <x:v>3</x:v>
      </x:c>
      <x:c r="F10" s="34" t="n">
        <x:v>2</x:v>
      </x:c>
      <x:c r="G10" s="34" t="n">
        <x:v>40</x:v>
      </x:c>
      <x:c r="H10" s="34" t="n">
        <x:v>2</x:v>
      </x:c>
      <x:c r="I10" s="34" t="n">
        <x:v>3</x:v>
      </x:c>
      <x:c r="J10" s="34" t="n">
        <x:v>12288</x:v>
      </x:c>
    </x:row>
    <x:row r="11">
      <x:c r="A11" s="32" t="str">
        <x:v>EXP-04</x:v>
      </x:c>
      <x:c r="B11" s="32" t="str">
        <x:v>Read/write wait</x:v>
      </x:c>
      <x:c r="C11" s="35" t="n">
        <x:v>3</x:v>
      </x:c>
      <x:c r="D11" s="35" t="n">
        <x:v>160000000000</x:v>
      </x:c>
      <x:c r="E11" s="35" t="n">
        <x:v>2</x:v>
      </x:c>
      <x:c r="F11" s="35" t="n">
        <x:v>0</x:v>
      </x:c>
      <x:c r="G11" s="35" t="n">
        <x:v>40</x:v>
      </x:c>
      <x:c r="H11" s="35" t="n">
        <x:v>0</x:v>
      </x:c>
      <x:c r="I11" s="35" t="n">
        <x:v>3</x:v>
      </x:c>
      <x:c r="J11" s="35" t="n">
        <x:v>12288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50" hidden="0" customWidth="1"/>
    <x:col min="4" max="4" width="16" hidden="0" customWidth="1"/>
    <x:col min="5" max="5" width="22" hidden="0" customWidth="1"/>
    <x:col min="6" max="6" width="68" hidden="0" customWidth="1"/>
  </x:cols>
  <x:sheetData>
    <x:row r="1" ht="30" customHeight="1">
      <x:c r="A1" s="4" t="str">
        <x:v>Source File Manifest — XML inputs and outputs</x:v>
      </x:c>
      <x:c r="B1" s="4" t="str">
        <x:v>Source File Manifest — XML inputs and outputs</x:v>
      </x:c>
      <x:c r="C1" s="4" t="str">
        <x:v>Source File Manifest — XML inputs and outputs</x:v>
      </x:c>
      <x:c r="D1" s="4" t="str">
        <x:v>Source File Manifest — XML inputs and outputs</x:v>
      </x:c>
      <x:c r="E1" s="4" t="str">
        <x:v>Source File Manifest — XML inputs and outputs</x:v>
      </x:c>
      <x:c r="F1" s="4" t="str">
        <x:v>Source File Manifest — XML inputs and outputs</x:v>
      </x:c>
    </x:row>
    <x:row r="2" ht="32" customHeight="1">
      <x:c r="A2" s="24" t="str">
        <x:v>Category</x:v>
      </x:c>
      <x:c r="B2" s="25" t="str">
        <x:v>File</x:v>
      </x:c>
      <x:c r="C2" s="25" t="str">
        <x:v>Relative_Path</x:v>
      </x:c>
      <x:c r="D2" s="25" t="str">
        <x:v>Size_Bytes</x:v>
      </x:c>
      <x:c r="E2" s="25" t="str">
        <x:v>Modified</x:v>
      </x:c>
      <x:c r="F2" s="26" t="str">
        <x:v>SHA256</x:v>
      </x:c>
    </x:row>
    <x:row r="3">
      <x:c r="A3" s="30" t="str">
        <x:v>Input XML</x:v>
      </x:c>
      <x:c r="B3" s="30" t="str">
        <x:v>ssdconfig_endurance_check.xml</x:v>
      </x:c>
      <x:c r="C3" s="30" t="str">
        <x:v>input_xml\ssdconfig_endurance_check.xml</x:v>
      </x:c>
      <x:c r="D3" s="33" t="n">
        <x:v>4490</x:v>
      </x:c>
      <x:c r="E3" s="69" t="n">
        <x:v>46261.74038099537</x:v>
      </x:c>
      <x:c r="F3" s="30" t="str">
        <x:v>2E3F8F26DF9819505F963A548A443D584316A41C121941F396F4223DD19E6B2A</x:v>
      </x:c>
    </x:row>
    <x:row r="4">
      <x:c r="A4" s="31" t="str">
        <x:v>Input XML</x:v>
      </x:c>
      <x:c r="B4" s="31" t="str">
        <x:v>ssdconfig_migration_check.xml</x:v>
      </x:c>
      <x:c r="C4" s="31" t="str">
        <x:v>input_xml\ssdconfig_migration_check.xml</x:v>
      </x:c>
      <x:c r="D4" s="34" t="n">
        <x:v>4496</x:v>
      </x:c>
      <x:c r="E4" s="70" t="n">
        <x:v>46261.73813725694</x:v>
      </x:c>
      <x:c r="F4" s="31" t="str">
        <x:v>2F8A8C6B6195F1B9E27782F990100F32F5274B31EAE162A535C19138C7AD7442</x:v>
      </x:c>
    </x:row>
    <x:row r="5">
      <x:c r="A5" s="31" t="str">
        <x:v>Input XML</x:v>
      </x:c>
      <x:c r="B5" s="31" t="str">
        <x:v>ssdconfig_wam_nocache_op20.xml</x:v>
      </x:c>
      <x:c r="C5" s="31" t="str">
        <x:v>input_xml\ssdconfig_wam_nocache_op20.xml</x:v>
      </x:c>
      <x:c r="D5" s="34" t="n">
        <x:v>4413</x:v>
      </x:c>
      <x:c r="E5" s="70" t="n">
        <x:v>46261.73447178241</x:v>
      </x:c>
      <x:c r="F5" s="31" t="str">
        <x:v>BA4DDD673031A5B20FFD25B1805B2E33442E063426CB2804EF32EE92CED56C7B</x:v>
      </x:c>
    </x:row>
    <x:row r="6">
      <x:c r="A6" s="31" t="str">
        <x:v>Input XML</x:v>
      </x:c>
      <x:c r="B6" s="31" t="str">
        <x:v>workload_endurance_check.xml</x:v>
      </x:c>
      <x:c r="C6" s="31" t="str">
        <x:v>input_xml\workload_endurance_check.xml</x:v>
      </x:c>
      <x:c r="D6" s="34" t="n">
        <x:v>1285</x:v>
      </x:c>
      <x:c r="E6" s="70" t="n">
        <x:v>46261.739363368055</x:v>
      </x:c>
      <x:c r="F6" s="31" t="str">
        <x:v>C8580CBD9D31D816E67D2CF5ECD51892AF89A1D8380C534F39D1C4CBD29E6B2F</x:v>
      </x:c>
    </x:row>
    <x:row r="7">
      <x:c r="A7" s="31" t="str">
        <x:v>Input XML</x:v>
      </x:c>
      <x:c r="B7" s="31" t="str">
        <x:v>workload_migration_check.xml</x:v>
      </x:c>
      <x:c r="C7" s="31" t="str">
        <x:v>input_xml\workload_migration_check.xml</x:v>
      </x:c>
      <x:c r="D7" s="34" t="n">
        <x:v>697</x:v>
      </x:c>
      <x:c r="E7" s="70" t="n">
        <x:v>46261.7370096875</x:v>
      </x:c>
      <x:c r="F7" s="31" t="str">
        <x:v>94E81486743D415F1307F6352933DBD148C092C5E1F492C98315D7569237D307</x:v>
      </x:c>
    </x:row>
    <x:row r="8">
      <x:c r="A8" s="31" t="str">
        <x:v>Input XML</x:v>
      </x:c>
      <x:c r="B8" s="31" t="str">
        <x:v>workload_migration_overlap_check.xml</x:v>
      </x:c>
      <x:c r="C8" s="31" t="str">
        <x:v>input_xml\workload_migration_overlap_check.xml</x:v>
      </x:c>
      <x:c r="D8" s="34" t="n">
        <x:v>688</x:v>
      </x:c>
      <x:c r="E8" s="70" t="n">
        <x:v>46261.738629988424</x:v>
      </x:c>
      <x:c r="F8" s="31" t="str">
        <x:v>D6A21F055F815FAC3D45E738D535C979A0E0AD8BAD1901A5D477ACAF21274101</x:v>
      </x:c>
    </x:row>
    <x:row r="9">
      <x:c r="A9" s="31" t="str">
        <x:v>Input XML</x:v>
      </x:c>
      <x:c r="B9" s="31" t="str">
        <x:v>workload_migration_rw_wait_check.xml</x:v>
      </x:c>
      <x:c r="C9" s="31" t="str">
        <x:v>input_xml\workload_migration_rw_wait_check.xml</x:v>
      </x:c>
      <x:c r="D9" s="34" t="n">
        <x:v>698</x:v>
      </x:c>
      <x:c r="E9" s="70" t="n">
        <x:v>46261.74531378472</x:v>
      </x:c>
      <x:c r="F9" s="31" t="str">
        <x:v>2E487E49CE41C165F76F5D2B2246CF96595F4AD324269CEDDBF1799B62B457BF</x:v>
      </x:c>
    </x:row>
    <x:row r="10">
      <x:c r="A10" s="31" t="str">
        <x:v>Input XML</x:v>
      </x:c>
      <x:c r="B10" s="31" t="str">
        <x:v>workload_prxy0_500k_wam_nocache_op20.xml</x:v>
      </x:c>
      <x:c r="C10" s="31" t="str">
        <x:v>input_xml\workload_prxy0_500k_wam_nocache_op20.xml</x:v>
      </x:c>
      <x:c r="D10" s="34" t="n">
        <x:v>697</x:v>
      </x:c>
      <x:c r="E10" s="70" t="n">
        <x:v>46261.7370096875</x:v>
      </x:c>
      <x:c r="F10" s="31" t="str">
        <x:v>94E81486743D415F1307F6352933DBD148C092C5E1F492C98315D7569237D307</x:v>
      </x:c>
    </x:row>
    <x:row r="11">
      <x:c r="A11" s="31" t="str">
        <x:v>Output XML</x:v>
      </x:c>
      <x:c r="B11" s="31" t="str">
        <x:v>01_msrc_prxy0_500k_paper16_op20_nocache.xml</x:v>
      </x:c>
      <x:c r="C11" s="31" t="str">
        <x:v>raw_xml\01_msrc_prxy0_500k_paper16_op20_nocache.xml</x:v>
      </x:c>
      <x:c r="D11" s="34" t="n">
        <x:v>553139</x:v>
      </x:c>
      <x:c r="E11" s="70" t="n">
        <x:v>46261.74338332176</x:v>
      </x:c>
      <x:c r="F11" s="31" t="str">
        <x:v>114AB49965A90BB1367500C31BFFF74EB6AC6D755F89C9D89A46A043005FB828</x:v>
      </x:c>
    </x:row>
    <x:row r="12">
      <x:c r="A12" s="31" t="str">
        <x:v>Output XML</x:v>
      </x:c>
      <x:c r="B12" s="31" t="str">
        <x:v>02_migration_forced_check.xml</x:v>
      </x:c>
      <x:c r="C12" s="31" t="str">
        <x:v>raw_xml\02_migration_forced_check.xml</x:v>
      </x:c>
      <x:c r="D12" s="34" t="n">
        <x:v>557099</x:v>
      </x:c>
      <x:c r="E12" s="70" t="n">
        <x:v>46261.74353043982</x:v>
      </x:c>
      <x:c r="F12" s="31" t="str">
        <x:v>3AD01CCA1668FD562B1C5F2277B031D494E4F4E4D316C680F271B15B4340EAA9</x:v>
      </x:c>
    </x:row>
    <x:row r="13">
      <x:c r="A13" s="31" t="str">
        <x:v>Output XML</x:v>
      </x:c>
      <x:c r="B13" s="31" t="str">
        <x:v>03_migration_overlap_compressed.xml</x:v>
      </x:c>
      <x:c r="C13" s="31" t="str">
        <x:v>raw_xml\03_migration_overlap_compressed.xml</x:v>
      </x:c>
      <x:c r="D13" s="34" t="n">
        <x:v>553691</x:v>
      </x:c>
      <x:c r="E13" s="70" t="n">
        <x:v>46261.738772233795</x:v>
      </x:c>
      <x:c r="F13" s="31" t="str">
        <x:v>5092E2C68C83A9FB4D25EABAD7D6C5EC4CCC8F7DE206BB1FB2B1C91749CD400E</x:v>
      </x:c>
    </x:row>
    <x:row r="14">
      <x:c r="A14" s="31" t="str">
        <x:v>Output XML</x:v>
      </x:c>
      <x:c r="B14" s="31" t="str">
        <x:v>04_migration_rw_wait_check.xml</x:v>
      </x:c>
      <x:c r="C14" s="31" t="str">
        <x:v>raw_xml\04_migration_rw_wait_check.xml</x:v>
      </x:c>
      <x:c r="D14" s="34" t="n">
        <x:v>555744</x:v>
      </x:c>
      <x:c r="E14" s="70" t="n">
        <x:v>46261.745421273146</x:v>
      </x:c>
      <x:c r="F14" s="31" t="str">
        <x:v>BFB4F1693486D8447FBB5DFB2EF617A8A0D41386B51EE9F00127D3224CCEFBB8</x:v>
      </x:c>
    </x:row>
    <x:row r="15">
      <x:c r="A15" s="32" t="str">
        <x:v>Output XML</x:v>
      </x:c>
      <x:c r="B15" s="32" t="str">
        <x:v>05_endurance_op_stop_check.xml</x:v>
      </x:c>
      <x:c r="C15" s="32" t="str">
        <x:v>raw_xml\05_endurance_op_stop_check.xml</x:v>
      </x:c>
      <x:c r="D15" s="35" t="n">
        <x:v>17412</x:v>
      </x:c>
      <x:c r="E15" s="71" t="n">
        <x:v>46261.74306212963</x:v>
      </x:c>
      <x:c r="F15" s="32" t="str">
        <x:v>E984BCB62D2BB627B83591706CD548BB42EFE7E7973CB067F319FA273F2A9370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30" customHeight="1">
      <x:c r="A1" s="4" t="str">
        <x:v>README — Scope, units, and interpretation</x:v>
      </x:c>
      <x:c r="B1" s="4" t="str">
        <x:v>README — Scope, units, and interpretation</x:v>
      </x:c>
    </x:row>
    <x:row r="3" ht="28" customHeight="1">
      <x:c r="A3" s="24" t="str">
        <x:v>Item</x:v>
      </x:c>
      <x:c r="B3" s="26" t="str">
        <x:v>Description</x:v>
      </x:c>
    </x:row>
    <x:row r="4" ht="28" customHeight="1">
      <x:c r="A4" s="30" t="str">
        <x:v>Code archive</x:v>
      </x:c>
      <x:c r="B4" s="39" t="str">
        <x:v>Source\gun_swans is an exact 234-file copy of Source\OS_RAID_PROJ_wam_nocache_op20 at archive time.</x:v>
      </x:c>
    </x:row>
    <x:row r="5" ht="28" customHeight="1">
      <x:c r="A5" s="31" t="str">
        <x:v>Zone definition</x:v>
      </x:c>
      <x:c r="B5" s="40" t="str">
        <x:v>32,768 LBA × 512 bytes = 16 MiB.</x:v>
      </x:c>
    </x:row>
    <x:row r="6" ht="28" customHeight="1">
      <x:c r="A6" s="31" t="str">
        <x:v>WAM unit</x:v>
      </x:c>
      <x:c r="B6" s="40" t="str">
        <x:v>512-byte sectors; cumulative WAM = host write sectors + migration restore write sectors.</x:v>
      </x:c>
    </x:row>
    <x:row r="7" ht="28" customHeight="1">
      <x:c r="A7" s="31" t="str">
        <x:v>EXP-01</x:v>
      </x:c>
      <x:c r="B7" s="40" t="str">
        <x:v>Main MSRC prxy0 500k evaluation with paper thresholds 5/15, OP 20%, cache off.</x:v>
      </x:c>
    </x:row>
    <x:row r="8" ht="28" customHeight="1">
      <x:c r="A8" s="31" t="str">
        <x:v>EXP-02</x:v>
      </x:c>
      <x:c r="B8" s="40" t="str">
        <x:v>Functional migration path check with critical threshold 5.5.</x:v>
      </x:c>
    </x:row>
    <x:row r="9" ht="28" customHeight="1">
      <x:c r="A9" s="31" t="str">
        <x:v>EXP-03</x:v>
      </x:c>
      <x:c r="B9" s="40" t="str">
        <x:v>Compressed-timestamp overlap check; not a performance benchmark.</x:v>
      </x:c>
    </x:row>
    <x:row r="10" ht="28" customHeight="1">
      <x:c r="A10" s="31" t="str">
        <x:v>EXP-04</x:v>
      </x:c>
      <x:c r="B10" s="40" t="str">
        <x:v>Alternating read/write overlap injected immediately after migration start.</x:v>
      </x:c>
    </x:row>
    <x:row r="11" ht="28" customHeight="1">
      <x:c r="A11" s="31" t="str">
        <x:v>EXP-05</x:v>
      </x:c>
      <x:c r="B11" s="40" t="str">
        <x:v>P/E limit 1 endurance stress; verifies bad-block and OP-stop logic only.</x:v>
      </x:c>
    </x:row>
    <x:row r="12" ht="28" customHeight="1">
      <x:c r="A12" s="31" t="str">
        <x:v>Cache</x:v>
      </x:c>
      <x:c r="B12" s="40" t="str">
        <x:v>Device_Level_Data_Caching_Mode is TURNED_OFF for all archived workloads.</x:v>
      </x:c>
    </x:row>
    <x:row r="13" ht="28" customHeight="1">
      <x:c r="A13" s="31" t="str">
        <x:v>Endurance caveat</x:v>
      </x:c>
      <x:c r="B13" s="40" t="str">
        <x:v>P/E limit 1 is not a physical lifetime estimate.</x:v>
      </x:c>
    </x:row>
    <x:row r="14" ht="28" customHeight="1">
      <x:c r="A14" s="31" t="str">
        <x:v>Missing fields</x:v>
      </x:c>
      <x:c r="B14" s="40" t="str">
        <x:v>Blank cells indicate that a metric was absent from that XML version or was not applicable.</x:v>
      </x:c>
    </x:row>
    <x:row r="15" ht="28" customHeight="1">
      <x:c r="A15" s="32" t="str">
        <x:v>Source lineage</x:v>
      </x:c>
      <x:c r="B15" s="41" t="str">
        <x:v>Every XML file is preserved in XML_result with size, modified time, and SHA-256 in Source Files.</x:v>
      </x:c>
    </x:row>
  </x:sheetData>
  <x:mergeCells>
    <x:mergeCell ref="A1:B1"/>
  </x:mergeCells>
  <x:pageMargins left="0.7" right="0.7" top="0.75" bottom="0.75" header="0.3" footer="0.3"/>
</x:worksheet>
</file>